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2e54d5e2641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70d29f96326d4e1c"/>
    <x:sheet xmlns:r="http://schemas.openxmlformats.org/officeDocument/2006/relationships" name="Checking Transactions" sheetId="2" r:id="Rc7c149b9e69640b9"/>
    <x:sheet xmlns:r="http://schemas.openxmlformats.org/officeDocument/2006/relationships" name="Savings Transactions" sheetId="3" r:id="Rb3e54060fe284010"/>
    <x:sheet xmlns:r="http://schemas.openxmlformats.org/officeDocument/2006/relationships" name="Monthly Summary" sheetId="4" r:id="R0730a2401fa940ee"/>
    <x:sheet xmlns:r="http://schemas.openxmlformats.org/officeDocument/2006/relationships" name="Recurring Bills" sheetId="5" r:id="Rdf0d7dc5904a4944"/>
    <x:sheet xmlns:r="http://schemas.openxmlformats.org/officeDocument/2006/relationships" name="Savings Goals" sheetId="6" r:id="Rfd01f1971718428c"/>
    <x:sheet xmlns:r="http://schemas.openxmlformats.org/officeDocument/2006/relationships" name="Profile &amp; Rules" sheetId="7" r:id="Ree4a46974f1a4b34"/>
    <x:sheet xmlns:r="http://schemas.openxmlformats.org/officeDocument/2006/relationships" name="Read Me" sheetId="8" r:id="R0eca0735a12b44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$#,##0.00;[Red]($#,##0.00);–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2B4D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b7d49a8fb42a9" /><Relationship Type="http://schemas.openxmlformats.org/officeDocument/2006/relationships/theme" Target="/xl/theme/theme1.xml" Id="R9c1c1d6045fa4266" /><Relationship Type="http://schemas.openxmlformats.org/officeDocument/2006/relationships/sharedStrings" Target="/xl/sharedStrings.xml" Id="R30af1dbe2b9d414e" /><Relationship Type="http://schemas.openxmlformats.org/officeDocument/2006/relationships/worksheet" Target="/xl/worksheets/sheet1.xml" Id="R70d29f96326d4e1c" /><Relationship Type="http://schemas.openxmlformats.org/officeDocument/2006/relationships/worksheet" Target="/xl/worksheets/sheet2.xml" Id="Rc7c149b9e69640b9" /><Relationship Type="http://schemas.openxmlformats.org/officeDocument/2006/relationships/worksheet" Target="/xl/worksheets/sheet3.xml" Id="Rb3e54060fe284010" /><Relationship Type="http://schemas.openxmlformats.org/officeDocument/2006/relationships/worksheet" Target="/xl/worksheets/sheet4.xml" Id="R0730a2401fa940ee" /><Relationship Type="http://schemas.openxmlformats.org/officeDocument/2006/relationships/worksheet" Target="/xl/worksheets/sheet5.xml" Id="Rdf0d7dc5904a4944" /><Relationship Type="http://schemas.openxmlformats.org/officeDocument/2006/relationships/worksheet" Target="/xl/worksheets/sheet6.xml" Id="Rfd01f1971718428c" /><Relationship Type="http://schemas.openxmlformats.org/officeDocument/2006/relationships/worksheet" Target="/xl/worksheets/sheet7.xml" Id="Ree4a46974f1a4b34" /><Relationship Type="http://schemas.openxmlformats.org/officeDocument/2006/relationships/worksheet" Target="/xl/worksheets/sheet8.xml" Id="R0eca0735a12b4497" /></Relationships>
</file>

<file path=xl/tables/table1.xml><?xml version="1.0" encoding="utf-8"?>
<x:table xmlns:x="http://schemas.openxmlformats.org/spreadsheetml/2006/main" id="1" name="CheckingLedger" displayName="CheckingLedger" ref="A1:L269" headerRowCount="1" totalsRowCount="0" totalsRowShown="0">
  <x:tableColumns count="12">
    <x:tableColumn id="1" name="Posted date"/>
    <x:tableColumn id="2" name="Transaction ID"/>
    <x:tableColumn id="3" name="Bank description"/>
    <x:tableColumn id="4" name="Merchant / payee"/>
    <x:tableColumn id="5" name="Category"/>
    <x:tableColumn id="6" name="Transaction type"/>
    <x:tableColumn id="7" name="Channel"/>
    <x:tableColumn id="8" name="Recurring"/>
    <x:tableColumn id="9" name="Amount ($)"/>
    <x:tableColumn id="10" name="Running balance ($)"/>
    <x:tableColumn id="11" name="Month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vingsLedger" displayName="SavingsLedger" ref="A1:E19" headerRowCount="1" totalsRowCount="0" totalsRowShown="0">
  <x:tableColumns count="5">
    <x:tableColumn id="1" name="Posted date"/>
    <x:tableColumn id="2" name="Transaction ID"/>
    <x:tableColumn id="3" name="Description"/>
    <x:tableColumn id="4" name="Amount ($)"/>
    <x:tableColumn id="5" name="Running savings balance ($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illSchedule" displayName="BillSchedule" ref="A1:G15" headerRowCount="1" totalsRowCount="0" totalsRowShown="0">
  <x:tableColumns count="7">
    <x:tableColumn id="1" name="Bill"/>
    <x:tableColumn id="2" name="Payee"/>
    <x:tableColumn id="3" name="Category"/>
    <x:tableColumn id="4" name="Expected amount ($)"/>
    <x:tableColumn id="5" name="Day of month"/>
    <x:tableColumn id="6" name="Frequency"/>
    <x:tableColumn id="7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b5f28201ae46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1e9b1d747c47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c598e42dbb84d3f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2" hidden="0" customWidth="1"/>
    <x:col min="3" max="3" width="5" hidden="0" customWidth="1"/>
    <x:col min="4" max="4" width="20" hidden="0" customWidth="1"/>
    <x:col min="5" max="5" width="22" hidden="0" customWidth="1"/>
    <x:col min="6" max="6" width="22" hidden="0" customWidth="1"/>
    <x:col min="7" max="7" width="19" hidden="0" customWidth="1"/>
    <x:col min="8" max="8" width="19" hidden="0" customWidth="1"/>
  </x:cols>
  <x:sheetData>
    <x:row r="1" ht="38" customHeight="1">
      <x:c r="A1" s="10" t="str">
        <x:v>DEMO FINANCES  |  JORDAN MORGAN</x:v>
      </x:c>
      <x:c r="B1" s="10" t="str">
        <x:v>DEMO FINANCES  |  JORDAN MORGAN</x:v>
      </x:c>
      <x:c r="C1" s="10" t="str">
        <x:v>DEMO FINANCES  |  JORDAN MORGAN</x:v>
      </x:c>
      <x:c r="D1" s="10" t="str">
        <x:v>DEMO FINANCES  |  JORDAN MORGAN</x:v>
      </x:c>
      <x:c r="E1" s="10" t="str">
        <x:v>DEMO FINANCES  |  JORDAN MORGAN</x:v>
      </x:c>
      <x:c r="F1" s="10" t="str">
        <x:v>DEMO FINANCES  |  JORDAN MORGAN</x:v>
      </x:c>
      <x:c r="G1" s="10" t="str">
        <x:v>DEMO FINANCES  |  JORDAN MORGAN</x:v>
      </x:c>
      <x:c r="H1" s="10" t="str">
        <x:v>DEMO FINANCES  |  JORDAN MORGAN</x:v>
      </x:c>
    </x:row>
    <x:row r="2">
      <x:c r="A2" t="str">
        <x:v>Six months of synthetic, bank-like transaction history  •  As of September 30, 2026  •  USD</x:v>
      </x:c>
    </x:row>
    <x:row r="4" ht="26" customHeight="1">
      <x:c r="A4" s="3" t="str">
        <x:v>ACCOUNT SNAPSHOT</x:v>
      </x:c>
      <x:c r="B4" s="3" t="str">
        <x:v>VALUE ($)</x:v>
      </x:c>
      <x:c r="D4" s="3" t="str">
        <x:v>MONTH</x:v>
      </x:c>
      <x:c r="E4" s="3" t="str">
        <x:v>INCOME ($)</x:v>
      </x:c>
      <x:c r="F4" s="3" t="str">
        <x:v>SPENDING ($)</x:v>
      </x:c>
    </x:row>
    <x:row r="5">
      <x:c r="A5" t="str">
        <x:v>Checking available</x:v>
      </x:c>
      <x:c r="B5" s="8" t="n">
        <x:f>'Monthly Summary'!G7</x:f>
        <x:v>6953.1</x:v>
      </x:c>
      <x:c r="D5" t="str">
        <x:f>'Monthly Summary'!A2</x:f>
        <x:v>2026-04</x:v>
      </x:c>
      <x:c r="E5" s="8" t="n">
        <x:f>'Monthly Summary'!B2</x:f>
        <x:v>4971.54</x:v>
      </x:c>
      <x:c r="F5" s="8" t="n">
        <x:f>'Monthly Summary'!C2</x:f>
        <x:v>3727.5</x:v>
      </x:c>
    </x:row>
    <x:row r="6">
      <x:c r="A6" t="str">
        <x:v>Savings available</x:v>
      </x:c>
      <x:c r="B6" s="8" t="e">
        <x:f>'Monthly Summary'!H7</x:f>
        <x:v>#N/A</x:v>
      </x:c>
      <x:c r="D6" t="str">
        <x:f>'Monthly Summary'!A3</x:f>
        <x:v>2026-05</x:v>
      </x:c>
      <x:c r="E6" s="8" t="n">
        <x:f>'Monthly Summary'!B3</x:f>
        <x:v>4993.16</x:v>
      </x:c>
      <x:c r="F6" s="8" t="n">
        <x:f>'Monthly Summary'!C3</x:f>
        <x:v>3648.679999999999</x:v>
      </x:c>
    </x:row>
    <x:row r="7">
      <x:c r="A7" t="str">
        <x:v>Total liquid balances</x:v>
      </x:c>
      <x:c r="B7" s="8" t="e">
        <x:f>B5+B6</x:f>
        <x:v>#N/A</x:v>
      </x:c>
      <x:c r="D7" t="str">
        <x:f>'Monthly Summary'!A4</x:f>
        <x:v>2026-06</x:v>
      </x:c>
      <x:c r="E7" s="8" t="n">
        <x:f>'Monthly Summary'!B4</x:f>
        <x:v>4882.700000000001</x:v>
      </x:c>
      <x:c r="F7" s="8" t="n">
        <x:f>'Monthly Summary'!C4</x:f>
        <x:v>3652.599999999999</x:v>
      </x:c>
    </x:row>
    <x:row r="8">
      <x:c r="A8" t="str">
        <x:v>Monthly take-home income</x:v>
      </x:c>
      <x:c r="B8" s="8" t="n">
        <x:f>'Monthly Summary'!B7</x:f>
        <x:v>4982.05</x:v>
      </x:c>
      <x:c r="D8" t="str">
        <x:f>'Monthly Summary'!A5</x:f>
        <x:v>2026-07</x:v>
      </x:c>
      <x:c r="E8" s="8" t="n">
        <x:f>'Monthly Summary'!B5</x:f>
        <x:v>5003.43</x:v>
      </x:c>
      <x:c r="F8" s="8" t="n">
        <x:f>'Monthly Summary'!C5</x:f>
        <x:v>3662.4199999999983</x:v>
      </x:c>
    </x:row>
    <x:row r="9">
      <x:c r="A9" t="str">
        <x:v>Last month spending</x:v>
      </x:c>
      <x:c r="B9" s="8" t="n">
        <x:f>'Monthly Summary'!C7</x:f>
        <x:v>3706.63</x:v>
      </x:c>
      <x:c r="D9" t="str">
        <x:f>'Monthly Summary'!A6</x:f>
        <x:v>2026-08</x:v>
      </x:c>
      <x:c r="E9" s="8" t="n">
        <x:f>'Monthly Summary'!B6</x:f>
        <x:v>4896.549999999999</x:v>
      </x:c>
      <x:c r="F9" s="8" t="n">
        <x:f>'Monthly Summary'!C6</x:f>
        <x:v>3832.709999999999</x:v>
      </x:c>
    </x:row>
    <x:row r="10">
      <x:c r="A10" t="str">
        <x:v>Monthly savings target</x:v>
      </x:c>
      <x:c r="B10" s="8" t="n">
        <x:f>'Profile &amp; Rules'!B11</x:f>
        <x:v>650</x:v>
      </x:c>
      <x:c r="D10" t="str">
        <x:f>'Monthly Summary'!A7</x:f>
        <x:v>2026-09</x:v>
      </x:c>
      <x:c r="E10" s="8" t="n">
        <x:f>'Monthly Summary'!B7</x:f>
        <x:v>4982.05</x:v>
      </x:c>
      <x:c r="F10" s="8" t="n">
        <x:f>'Monthly Summary'!C7</x:f>
        <x:v>3706.63</x:v>
      </x:c>
    </x:row>
    <x:row r="11">
      <x:c r="A11" t="str">
        <x:v>Checking safety buffer</x:v>
      </x:c>
      <x:c r="B11" s="8" t="n">
        <x:f>'Profile &amp; Rules'!B10</x:f>
        <x:v>500</x:v>
      </x:c>
    </x:row>
    <x:row r="12">
      <x:c r="A12" t="str">
        <x:v>Projected bills next month</x:v>
      </x:c>
      <x:c r="B12" s="8" t="n">
        <x:f>SUM('Recurring Bills'!D2:D15)</x:f>
        <x:v>2498.5499999999993</x:v>
      </x:c>
    </x:row>
    <x:row r="13">
      <x:c r="A13" t="str">
        <x:v>Conservative variable reserve</x:v>
      </x:c>
      <x:c r="B13" s="8" t="str">
        <x:f>'Profile &amp; Rules'!B15</x:f>
        <x:v>****1842</x:v>
      </x:c>
      <x:c r="D13" t="str">
        <x:v>IMPORTANT: Available-to-spend is an intentionally conservative prototype.</x:v>
      </x:c>
    </x:row>
    <x:row r="14">
      <x:c r="A14" t="str">
        <x:v>Spendable after reserves</x:v>
      </x:c>
      <x:c r="B14" s="8" t="e">
        <x:f>MAX(0,B5-B11-B12-B13)</x:f>
        <x:v>#VALUE!</x:v>
      </x:c>
      <x:c r="D14" t="str">
        <x:v>It ignores future paychecks and treats the next month of bills as unpaid.</x:v>
      </x:c>
    </x:row>
    <x:row r="15">
      <x:c r="D15" t="str">
        <x:v>For production: reconcile cleared/pending items, account for bill due dates,</x:v>
      </x:c>
    </x:row>
    <x:row r="16">
      <x:c r="D16" t="str">
        <x:v>income timing, debt minimums, and goal balances before offering advice.</x:v>
      </x:c>
    </x:row>
  </x:sheetData>
  <x:mergeCells>
    <x:mergeCell ref="A1:H1"/>
    <x:mergeCell ref="A2:H2"/>
    <x:mergeCell ref="D13:H13"/>
    <x:mergeCell ref="D14:H14"/>
    <x:mergeCell ref="D15:H15"/>
    <x:mergeCell ref="D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44" hidden="0" customWidth="1"/>
    <x:col min="4" max="4" width="27" hidden="0" customWidth="1"/>
    <x:col min="5" max="5" width="23" hidden="0" customWidth="1"/>
    <x:col min="6" max="6" width="18" hidden="0" customWidth="1"/>
    <x:col min="7" max="7" width="19" hidden="0" customWidth="1"/>
    <x:col min="8" max="8" width="13" hidden="0" customWidth="1"/>
    <x:col min="9" max="9" width="19" hidden="0" customWidth="1"/>
    <x:col min="10" max="10" width="23" hidden="0" customWidth="1"/>
    <x:col min="11" max="11" width="14" hidden="0" customWidth="1"/>
    <x:col min="12" max="12" width="43" hidden="0" customWidth="1"/>
  </x:cols>
  <x:sheetData>
    <x:row r="1" ht="26" customHeight="1">
      <x:c r="A1" s="3" t="str">
        <x:v>Posted date</x:v>
      </x:c>
      <x:c r="B1" s="3" t="str">
        <x:v>Transaction ID</x:v>
      </x:c>
      <x:c r="C1" s="3" t="str">
        <x:v>Bank description</x:v>
      </x:c>
      <x:c r="D1" s="3" t="str">
        <x:v>Merchant / payee</x:v>
      </x:c>
      <x:c r="E1" s="3" t="str">
        <x:v>Category</x:v>
      </x:c>
      <x:c r="F1" s="3" t="str">
        <x:v>Transaction type</x:v>
      </x:c>
      <x:c r="G1" s="3" t="str">
        <x:v>Channel</x:v>
      </x:c>
      <x:c r="H1" s="3" t="str">
        <x:v>Recurring</x:v>
      </x:c>
      <x:c r="I1" s="3" t="str">
        <x:v>Amount ($)</x:v>
      </x:c>
      <x:c r="J1" s="3" t="str">
        <x:v>Running balance ($)</x:v>
      </x:c>
      <x:c r="K1" s="3" t="str">
        <x:v>Month</x:v>
      </x:c>
      <x:c r="L1" s="3" t="str">
        <x:v>Notes</x:v>
      </x:c>
    </x:row>
    <x:row r="2">
      <x:c r="A2" s="6" t="n">
        <x:v>46113</x:v>
      </x:c>
      <x:c r="B2" t="str">
        <x:v>TXN-000001</x:v>
      </x:c>
      <x:c r="C2" t="str">
        <x:v>RENT PMT GREENWOOD APARTMENTS</x:v>
      </x:c>
      <x:c r="D2" t="str">
        <x:v>Greenwood Apartments</x:v>
      </x:c>
      <x:c r="E2" t="str">
        <x:v>Housing</x:v>
      </x:c>
      <x:c r="F2" t="str">
        <x:v>Expense</x:v>
      </x:c>
      <x:c r="G2" t="str">
        <x:v>ACH</x:v>
      </x:c>
      <x:c r="H2" t="str">
        <x:v>Yes</x:v>
      </x:c>
      <x:c r="I2" s="8" t="n">
        <x:v>-1475</x:v>
      </x:c>
      <x:c r="J2" s="8" t="n">
        <x:v>1811.74</x:v>
      </x:c>
      <x:c r="K2" t="str">
        <x:v>2026-04</x:v>
      </x:c>
      <x:c r="L2" t="str"/>
    </x:row>
    <x:row r="3">
      <x:c r="A3" s="6" t="n">
        <x:v>46114</x:v>
      </x:c>
      <x:c r="B3" t="str">
        <x:v>TXN-000002</x:v>
      </x:c>
      <x:c r="C3" t="str">
        <x:v>PECO ENERGY AUTOPAY</x:v>
      </x:c>
      <x:c r="D3" t="str">
        <x:v>PECO Energy</x:v>
      </x:c>
      <x:c r="E3" t="str">
        <x:v>Utilities</x:v>
      </x:c>
      <x:c r="F3" t="str">
        <x:v>Expense</x:v>
      </x:c>
      <x:c r="G3" t="str">
        <x:v>ACH</x:v>
      </x:c>
      <x:c r="H3" t="str">
        <x:v>Yes</x:v>
      </x:c>
      <x:c r="I3" s="8" t="n">
        <x:v>-105.41</x:v>
      </x:c>
      <x:c r="J3" s="8" t="n">
        <x:v>1706.33</x:v>
      </x:c>
      <x:c r="K3" t="str">
        <x:v>2026-04</x:v>
      </x:c>
      <x:c r="L3" t="str"/>
    </x:row>
    <x:row r="4">
      <x:c r="A4" s="6" t="n">
        <x:v>46114</x:v>
      </x:c>
      <x:c r="B4" t="str">
        <x:v>TXN-000019</x:v>
      </x:c>
      <x:c r="C4" t="str">
        <x:v>POS PURCHASE GIANT FOOD #6406</x:v>
      </x:c>
      <x:c r="D4" t="str">
        <x:v>Giant Food</x:v>
      </x:c>
      <x:c r="E4" t="str">
        <x:v>Groceries</x:v>
      </x:c>
      <x:c r="F4" t="str">
        <x:v>Expense</x:v>
      </x:c>
      <x:c r="G4" t="str">
        <x:v>Debit card</x:v>
      </x:c>
      <x:c r="H4" t="str">
        <x:v>No</x:v>
      </x:c>
      <x:c r="I4" s="8" t="n">
        <x:v>-44.39</x:v>
      </x:c>
      <x:c r="J4" s="8" t="n">
        <x:v>1661.94</x:v>
      </x:c>
      <x:c r="K4" t="str">
        <x:v>2026-04</x:v>
      </x:c>
      <x:c r="L4" t="str"/>
    </x:row>
    <x:row r="5">
      <x:c r="A5" s="6" t="n">
        <x:v>46115</x:v>
      </x:c>
      <x:c r="B5" t="str">
        <x:v>TXN-000003</x:v>
      </x:c>
      <x:c r="C5" t="str">
        <x:v>COMCAST INTERNET AUTOPAY</x:v>
      </x:c>
      <x:c r="D5" t="str">
        <x:v>Xfinity</x:v>
      </x:c>
      <x:c r="E5" t="str">
        <x:v>Internet</x:v>
      </x:c>
      <x:c r="F5" t="str">
        <x:v>Expense</x:v>
      </x:c>
      <x:c r="G5" t="str">
        <x:v>ACH</x:v>
      </x:c>
      <x:c r="H5" t="str">
        <x:v>Yes</x:v>
      </x:c>
      <x:c r="I5" s="8" t="n">
        <x:v>-65</x:v>
      </x:c>
      <x:c r="J5" s="8" t="n">
        <x:v>1596.94</x:v>
      </x:c>
      <x:c r="K5" t="str">
        <x:v>2026-04</x:v>
      </x:c>
      <x:c r="L5" t="str"/>
    </x:row>
    <x:row r="6">
      <x:c r="A6" s="6" t="n">
        <x:v>46115</x:v>
      </x:c>
      <x:c r="B6" t="str">
        <x:v>TXN-000027</x:v>
      </x:c>
      <x:c r="C6" t="str">
        <x:v>PAY AT PUMP SHELL</x:v>
      </x:c>
      <x:c r="D6" t="str">
        <x:v>Shell</x:v>
      </x:c>
      <x:c r="E6" t="str">
        <x:v>Gas &amp; fuel</x:v>
      </x:c>
      <x:c r="F6" t="str">
        <x:v>Expense</x:v>
      </x:c>
      <x:c r="G6" t="str">
        <x:v>Debit card</x:v>
      </x:c>
      <x:c r="H6" t="str">
        <x:v>No</x:v>
      </x:c>
      <x:c r="I6" s="8" t="n">
        <x:v>-52.53</x:v>
      </x:c>
      <x:c r="J6" s="8" t="n">
        <x:v>1544.41</x:v>
      </x:c>
      <x:c r="K6" t="str">
        <x:v>2026-04</x:v>
      </x:c>
      <x:c r="L6" t="str"/>
    </x:row>
    <x:row r="7">
      <x:c r="A7" s="6" t="n">
        <x:v>46116</x:v>
      </x:c>
      <x:c r="B7" t="str">
        <x:v>TXN-000004</x:v>
      </x:c>
      <x:c r="C7" t="str">
        <x:v>SPOTIFY PREMIUM</x:v>
      </x:c>
      <x:c r="D7" t="str">
        <x:v>Spotify</x:v>
      </x:c>
      <x:c r="E7" t="str">
        <x:v>Subscriptions</x:v>
      </x:c>
      <x:c r="F7" t="str">
        <x:v>Expense</x:v>
      </x:c>
      <x:c r="G7" t="str">
        <x:v>Card on file</x:v>
      </x:c>
      <x:c r="H7" t="str">
        <x:v>Yes</x:v>
      </x:c>
      <x:c r="I7" s="8" t="n">
        <x:v>-11.99</x:v>
      </x:c>
      <x:c r="J7" s="8" t="n">
        <x:v>1532.42</x:v>
      </x:c>
      <x:c r="K7" t="str">
        <x:v>2026-04</x:v>
      </x:c>
      <x:c r="L7" t="str"/>
    </x:row>
    <x:row r="8">
      <x:c r="A8" s="6" t="n">
        <x:v>46117</x:v>
      </x:c>
      <x:c r="B8" t="str">
        <x:v>TXN-000005</x:v>
      </x:c>
      <x:c r="C8" t="str">
        <x:v>VERIZON WIRELESS</x:v>
      </x:c>
      <x:c r="D8" t="str">
        <x:v>Verizon</x:v>
      </x:c>
      <x:c r="E8" t="str">
        <x:v>Phone</x:v>
      </x:c>
      <x:c r="F8" t="str">
        <x:v>Expense</x:v>
      </x:c>
      <x:c r="G8" t="str">
        <x:v>ACH</x:v>
      </x:c>
      <x:c r="H8" t="str">
        <x:v>Yes</x:v>
      </x:c>
      <x:c r="I8" s="8" t="n">
        <x:v>-62</x:v>
      </x:c>
      <x:c r="J8" s="8" t="n">
        <x:v>1470.42</x:v>
      </x:c>
      <x:c r="K8" t="str">
        <x:v>2026-04</x:v>
      </x:c>
      <x:c r="L8" t="str"/>
    </x:row>
    <x:row r="9">
      <x:c r="A9" s="6" t="n">
        <x:v>46117</x:v>
      </x:c>
      <x:c r="B9" t="str">
        <x:v>TXN-000031</x:v>
      </x:c>
      <x:c r="C9" t="str">
        <x:v>POS PURCHASE TACO BELL</x:v>
      </x:c>
      <x:c r="D9" t="str">
        <x:v>Taco Bell</x:v>
      </x:c>
      <x:c r="E9" t="str">
        <x:v>Dining out</x:v>
      </x:c>
      <x:c r="F9" t="str">
        <x:v>Expense</x:v>
      </x:c>
      <x:c r="G9" t="str">
        <x:v>Debit card</x:v>
      </x:c>
      <x:c r="H9" t="str">
        <x:v>No</x:v>
      </x:c>
      <x:c r="I9" s="8" t="n">
        <x:v>-35.58</x:v>
      </x:c>
      <x:c r="J9" s="8" t="n">
        <x:v>1434.84</x:v>
      </x:c>
      <x:c r="K9" t="str">
        <x:v>2026-04</x:v>
      </x:c>
      <x:c r="L9" t="str"/>
    </x:row>
    <x:row r="10">
      <x:c r="A10" s="6" t="n">
        <x:v>46118</x:v>
      </x:c>
      <x:c r="B10" t="str">
        <x:v>TXN-000020</x:v>
      </x:c>
      <x:c r="C10" t="str">
        <x:v>POS PURCHASE WALMART SUPERCENTER #4529</x:v>
      </x:c>
      <x:c r="D10" t="str">
        <x:v>Walmart Supercenter</x:v>
      </x:c>
      <x:c r="E10" t="str">
        <x:v>Groceries</x:v>
      </x:c>
      <x:c r="F10" t="str">
        <x:v>Expense</x:v>
      </x:c>
      <x:c r="G10" t="str">
        <x:v>Debit card</x:v>
      </x:c>
      <x:c r="H10" t="str">
        <x:v>No</x:v>
      </x:c>
      <x:c r="I10" s="8" t="n">
        <x:v>-81.64</x:v>
      </x:c>
      <x:c r="J10" s="8" t="n">
        <x:v>1353.2</x:v>
      </x:c>
      <x:c r="K10" t="str">
        <x:v>2026-04</x:v>
      </x:c>
      <x:c r="L10" t="str"/>
    </x:row>
    <x:row r="11">
      <x:c r="A11" s="6" t="n">
        <x:v>46118</x:v>
      </x:c>
      <x:c r="B11" t="str">
        <x:v>TXN-000043</x:v>
      </x:c>
      <x:c r="C11" t="str">
        <x:v>DRY CLEANER</x:v>
      </x:c>
      <x:c r="D11" t="str">
        <x:v>Cleaners</x:v>
      </x:c>
      <x:c r="E11" t="str">
        <x:v>Personal care</x:v>
      </x:c>
      <x:c r="F11" t="str">
        <x:v>Expense</x:v>
      </x:c>
      <x:c r="G11" t="str">
        <x:v>Debit card</x:v>
      </x:c>
      <x:c r="H11" t="str">
        <x:v>No</x:v>
      </x:c>
      <x:c r="I11" s="8" t="n">
        <x:v>-19.5</x:v>
      </x:c>
      <x:c r="J11" s="8" t="n">
        <x:v>1333.7</x:v>
      </x:c>
      <x:c r="K11" t="str">
        <x:v>2026-04</x:v>
      </x:c>
      <x:c r="L11" t="str"/>
    </x:row>
    <x:row r="12">
      <x:c r="A12" s="6" t="n">
        <x:v>46119</x:v>
      </x:c>
      <x:c r="B12" t="str">
        <x:v>TXN-000006</x:v>
      </x:c>
      <x:c r="C12" t="str">
        <x:v>ALLSTATE AUTO INSURANCE</x:v>
      </x:c>
      <x:c r="D12" t="str">
        <x:v>Allstate</x:v>
      </x:c>
      <x:c r="E12" t="str">
        <x:v>Insurance</x:v>
      </x:c>
      <x:c r="F12" t="str">
        <x:v>Expense</x:v>
      </x:c>
      <x:c r="G12" t="str">
        <x:v>ACH</x:v>
      </x:c>
      <x:c r="H12" t="str">
        <x:v>Yes</x:v>
      </x:c>
      <x:c r="I12" s="8" t="n">
        <x:v>-142.6</x:v>
      </x:c>
      <x:c r="J12" s="8" t="n">
        <x:v>1191.1</x:v>
      </x:c>
      <x:c r="K12" t="str">
        <x:v>2026-04</x:v>
      </x:c>
      <x:c r="L12" t="str"/>
    </x:row>
    <x:row r="13">
      <x:c r="A13" s="6" t="n">
        <x:v>46119</x:v>
      </x:c>
      <x:c r="B13" t="str">
        <x:v>TXN-000038</x:v>
      </x:c>
      <x:c r="C13" t="str">
        <x:v>ONLINE PURCHASE HOME DEPOT</x:v>
      </x:c>
      <x:c r="D13" t="str">
        <x:v>Home Depot</x:v>
      </x:c>
      <x:c r="E13" t="str">
        <x:v>Shopping</x:v>
      </x:c>
      <x:c r="F13" t="str">
        <x:v>Expense</x:v>
      </x:c>
      <x:c r="G13" t="str">
        <x:v>Card on file</x:v>
      </x:c>
      <x:c r="H13" t="str">
        <x:v>No</x:v>
      </x:c>
      <x:c r="I13" s="8" t="n">
        <x:v>-43.71</x:v>
      </x:c>
      <x:c r="J13" s="8" t="n">
        <x:v>1147.39</x:v>
      </x:c>
      <x:c r="K13" t="str">
        <x:v>2026-04</x:v>
      </x:c>
      <x:c r="L13" t="str"/>
    </x:row>
    <x:row r="14">
      <x:c r="A14" s="6" t="n">
        <x:v>46120</x:v>
      </x:c>
      <x:c r="B14" t="str">
        <x:v>TXN-000036</x:v>
      </x:c>
      <x:c r="C14" t="str">
        <x:v>PARKING / PUBLIC TRANSIT</x:v>
      </x:c>
      <x:c r="D14" t="str">
        <x:v>Local Transit</x:v>
      </x:c>
      <x:c r="E14" t="str">
        <x:v>Transportation</x:v>
      </x:c>
      <x:c r="F14" t="str">
        <x:v>Expense</x:v>
      </x:c>
      <x:c r="G14" t="str">
        <x:v>Debit card</x:v>
      </x:c>
      <x:c r="H14" t="str">
        <x:v>No</x:v>
      </x:c>
      <x:c r="I14" s="8" t="n">
        <x:v>-20.62</x:v>
      </x:c>
      <x:c r="J14" s="8" t="n">
        <x:v>1126.77</x:v>
      </x:c>
      <x:c r="K14" t="str">
        <x:v>2026-04</x:v>
      </x:c>
      <x:c r="L14" t="str"/>
    </x:row>
    <x:row r="15">
      <x:c r="A15" s="6" t="n">
        <x:v>46121</x:v>
      </x:c>
      <x:c r="B15" t="str">
        <x:v>TXN-000007</x:v>
      </x:c>
      <x:c r="C15" t="str">
        <x:v>CITY WATER SEWER</x:v>
      </x:c>
      <x:c r="D15" t="str">
        <x:v>City Utilities</x:v>
      </x:c>
      <x:c r="E15" t="str">
        <x:v>Utilities</x:v>
      </x:c>
      <x:c r="F15" t="str">
        <x:v>Expense</x:v>
      </x:c>
      <x:c r="G15" t="str">
        <x:v>ACH</x:v>
      </x:c>
      <x:c r="H15" t="str">
        <x:v>Yes</x:v>
      </x:c>
      <x:c r="I15" s="8" t="n">
        <x:v>-42.84</x:v>
      </x:c>
      <x:c r="J15" s="8" t="n">
        <x:v>1083.93</x:v>
      </x:c>
      <x:c r="K15" t="str">
        <x:v>2026-04</x:v>
      </x:c>
      <x:c r="L15" t="str"/>
    </x:row>
    <x:row r="16">
      <x:c r="A16" s="6" t="n">
        <x:v>46122</x:v>
      </x:c>
      <x:c r="B16" t="str">
        <x:v>TXN-000008</x:v>
      </x:c>
      <x:c r="C16" t="str">
        <x:v>PLANET FITNESS MEMBERSHIP</x:v>
      </x:c>
      <x:c r="D16" t="str">
        <x:v>Planet Fitness</x:v>
      </x:c>
      <x:c r="E16" t="str">
        <x:v>Fitness</x:v>
      </x:c>
      <x:c r="F16" t="str">
        <x:v>Expense</x:v>
      </x:c>
      <x:c r="G16" t="str">
        <x:v>Card on file</x:v>
      </x:c>
      <x:c r="H16" t="str">
        <x:v>Yes</x:v>
      </x:c>
      <x:c r="I16" s="8" t="n">
        <x:v>-24.99</x:v>
      </x:c>
      <x:c r="J16" s="8" t="n">
        <x:v>1058.94</x:v>
      </x:c>
      <x:c r="K16" t="str">
        <x:v>2026-04</x:v>
      </x:c>
      <x:c r="L16" t="str"/>
    </x:row>
    <x:row r="17">
      <x:c r="A17" s="6" t="n">
        <x:v>46122</x:v>
      </x:c>
      <x:c r="B17" t="str">
        <x:v>TXN-000021</x:v>
      </x:c>
      <x:c r="C17" t="str">
        <x:v>POS PURCHASE WALMART SUPERCENTER #3553</x:v>
      </x:c>
      <x:c r="D17" t="str">
        <x:v>Walmart Supercenter</x:v>
      </x:c>
      <x:c r="E17" t="str">
        <x:v>Groceries</x:v>
      </x:c>
      <x:c r="F17" t="str">
        <x:v>Expense</x:v>
      </x:c>
      <x:c r="G17" t="str">
        <x:v>Debit card</x:v>
      </x:c>
      <x:c r="H17" t="str">
        <x:v>No</x:v>
      </x:c>
      <x:c r="I17" s="8" t="n">
        <x:v>-71.67</x:v>
      </x:c>
      <x:c r="J17" s="8" t="n">
        <x:v>987.27</x:v>
      </x:c>
      <x:c r="K17" t="str">
        <x:v>2026-04</x:v>
      </x:c>
      <x:c r="L17" t="str"/>
    </x:row>
    <x:row r="18">
      <x:c r="A18" s="6" t="n">
        <x:v>46123</x:v>
      </x:c>
      <x:c r="B18" t="str">
        <x:v>TXN-000028</x:v>
      </x:c>
      <x:c r="C18" t="str">
        <x:v>PAY AT PUMP SHELL</x:v>
      </x:c>
      <x:c r="D18" t="str">
        <x:v>Shell</x:v>
      </x:c>
      <x:c r="E18" t="str">
        <x:v>Gas &amp; fuel</x:v>
      </x:c>
      <x:c r="F18" t="str">
        <x:v>Expense</x:v>
      </x:c>
      <x:c r="G18" t="str">
        <x:v>Debit card</x:v>
      </x:c>
      <x:c r="H18" t="str">
        <x:v>No</x:v>
      </x:c>
      <x:c r="I18" s="8" t="n">
        <x:v>-40.6</x:v>
      </x:c>
      <x:c r="J18" s="8" t="n">
        <x:v>946.67</x:v>
      </x:c>
      <x:c r="K18" t="str">
        <x:v>2026-04</x:v>
      </x:c>
      <x:c r="L18" t="str"/>
    </x:row>
    <x:row r="19">
      <x:c r="A19" s="6" t="n">
        <x:v>46124</x:v>
      </x:c>
      <x:c r="B19" t="str">
        <x:v>TXN-000009</x:v>
      </x:c>
      <x:c r="C19" t="str">
        <x:v>NETFLIX STANDARD</x:v>
      </x:c>
      <x:c r="D19" t="str">
        <x:v>Netflix</x:v>
      </x:c>
      <x:c r="E19" t="str">
        <x:v>Subscriptions</x:v>
      </x:c>
      <x:c r="F19" t="str">
        <x:v>Expense</x:v>
      </x:c>
      <x:c r="G19" t="str">
        <x:v>Card on file</x:v>
      </x:c>
      <x:c r="H19" t="str">
        <x:v>Yes</x:v>
      </x:c>
      <x:c r="I19" s="8" t="n">
        <x:v>-17.99</x:v>
      </x:c>
      <x:c r="J19" s="8" t="n">
        <x:v>928.68</x:v>
      </x:c>
      <x:c r="K19" t="str">
        <x:v>2026-04</x:v>
      </x:c>
      <x:c r="L19" t="str"/>
    </x:row>
    <x:row r="20">
      <x:c r="A20" s="6" t="n">
        <x:v>46124</x:v>
      </x:c>
      <x:c r="B20" t="str">
        <x:v>TXN-000032</x:v>
      </x:c>
      <x:c r="C20" t="str">
        <x:v>POS PURCHASE TACO BELL</x:v>
      </x:c>
      <x:c r="D20" t="str">
        <x:v>Taco Bell</x:v>
      </x:c>
      <x:c r="E20" t="str">
        <x:v>Dining out</x:v>
      </x:c>
      <x:c r="F20" t="str">
        <x:v>Expense</x:v>
      </x:c>
      <x:c r="G20" t="str">
        <x:v>Debit card</x:v>
      </x:c>
      <x:c r="H20" t="str">
        <x:v>No</x:v>
      </x:c>
      <x:c r="I20" s="8" t="n">
        <x:v>-10.84</x:v>
      </x:c>
      <x:c r="J20" s="8" t="n">
        <x:v>917.84</x:v>
      </x:c>
      <x:c r="K20" t="str">
        <x:v>2026-04</x:v>
      </x:c>
      <x:c r="L20" t="str"/>
    </x:row>
    <x:row r="21">
      <x:c r="A21" s="6" t="n">
        <x:v>46125</x:v>
      </x:c>
      <x:c r="B21" t="str">
        <x:v>TXN-000040</x:v>
      </x:c>
      <x:c r="C21" t="str">
        <x:v>CARD PURCHASE AMC THEATRES</x:v>
      </x:c>
      <x:c r="D21" t="str">
        <x:v>AMC Theatres</x:v>
      </x:c>
      <x:c r="E21" t="str">
        <x:v>Entertainment</x:v>
      </x:c>
      <x:c r="F21" t="str">
        <x:v>Expense</x:v>
      </x:c>
      <x:c r="G21" t="str">
        <x:v>Debit card</x:v>
      </x:c>
      <x:c r="H21" t="str">
        <x:v>No</x:v>
      </x:c>
      <x:c r="I21" s="8" t="n">
        <x:v>-27.11</x:v>
      </x:c>
      <x:c r="J21" s="8" t="n">
        <x:v>890.73</x:v>
      </x:c>
      <x:c r="K21" t="str">
        <x:v>2026-04</x:v>
      </x:c>
      <x:c r="L21" t="str"/>
    </x:row>
    <x:row r="22">
      <x:c r="A22" s="6" t="n">
        <x:v>46126</x:v>
      </x:c>
      <x:c r="B22" t="str">
        <x:v>TXN-000022</x:v>
      </x:c>
      <x:c r="C22" t="str">
        <x:v>POS PURCHASE WALMART SUPERCENTER #4850</x:v>
      </x:c>
      <x:c r="D22" t="str">
        <x:v>Walmart Supercenter</x:v>
      </x:c>
      <x:c r="E22" t="str">
        <x:v>Groceries</x:v>
      </x:c>
      <x:c r="F22" t="str">
        <x:v>Expense</x:v>
      </x:c>
      <x:c r="G22" t="str">
        <x:v>Debit card</x:v>
      </x:c>
      <x:c r="H22" t="str">
        <x:v>No</x:v>
      </x:c>
      <x:c r="I22" s="8" t="n">
        <x:v>-92.69</x:v>
      </x:c>
      <x:c r="J22" s="8" t="n">
        <x:v>798.04</x:v>
      </x:c>
      <x:c r="K22" t="str">
        <x:v>2026-04</x:v>
      </x:c>
      <x:c r="L22" t="str"/>
    </x:row>
    <x:row r="23">
      <x:c r="A23" s="6" t="n">
        <x:v>46127</x:v>
      </x:c>
      <x:c r="B23" t="str">
        <x:v>TXN-000015</x:v>
      </x:c>
      <x:c r="C23" t="str">
        <x:v>PAYROLL DIRECT DEP / BRIGHTWAVE SYSTEMS</x:v>
      </x:c>
      <x:c r="D23" t="str">
        <x:v>BrightWave Systems</x:v>
      </x:c>
      <x:c r="E23" t="str">
        <x:v>Paycheck</x:v>
      </x:c>
      <x:c r="F23" t="str">
        <x:v>Income</x:v>
      </x:c>
      <x:c r="G23" t="str">
        <x:v>Direct deposit</x:v>
      </x:c>
      <x:c r="H23" t="str">
        <x:v>Yes</x:v>
      </x:c>
      <x:c r="I23" s="8" t="n">
        <x:v>2528.07</x:v>
      </x:c>
      <x:c r="J23" s="8" t="n">
        <x:v>3326.11</x:v>
      </x:c>
      <x:c r="K23" t="str">
        <x:v>2026-04</x:v>
      </x:c>
      <x:c r="L23" t="str">
        <x:v>Net payroll; gross and withholdings in Profile</x:v>
      </x:c>
    </x:row>
    <x:row r="24">
      <x:c r="A24" s="6" t="n">
        <x:v>46127</x:v>
      </x:c>
      <x:c r="B24" t="str">
        <x:v>TXN-000016</x:v>
      </x:c>
      <x:c r="C24" t="str">
        <x:v>ONLINE TRANSFER TO SAVINGS ****7721</x:v>
      </x:c>
      <x:c r="D24" t="str">
        <x:v>Internal savings transfer</x:v>
      </x:c>
      <x:c r="E24" t="str">
        <x:v>Savings transfer</x:v>
      </x:c>
      <x:c r="F24" t="str">
        <x:v>Transfer</x:v>
      </x:c>
      <x:c r="G24" t="str">
        <x:v>Internal transfer</x:v>
      </x:c>
      <x:c r="H24" t="str">
        <x:v>Yes</x:v>
      </x:c>
      <x:c r="I24" s="8" t="n">
        <x:v>-350</x:v>
      </x:c>
      <x:c r="J24" s="8" t="n">
        <x:v>2976.11</x:v>
      </x:c>
      <x:c r="K24" t="str">
        <x:v>2026-04</x:v>
      </x:c>
      <x:c r="L24" t="str"/>
    </x:row>
    <x:row r="25">
      <x:c r="A25" s="6" t="n">
        <x:v>46128</x:v>
      </x:c>
      <x:c r="B25" t="str">
        <x:v>TXN-000010</x:v>
      </x:c>
      <x:c r="C25" t="str">
        <x:v>TOYOTA FINANCIAL LOAN PAYMENT</x:v>
      </x:c>
      <x:c r="D25" t="str">
        <x:v>Toyota Financial</x:v>
      </x:c>
      <x:c r="E25" t="str">
        <x:v>Auto loan</x:v>
      </x:c>
      <x:c r="F25" t="str">
        <x:v>Expense</x:v>
      </x:c>
      <x:c r="G25" t="str">
        <x:v>ACH</x:v>
      </x:c>
      <x:c r="H25" t="str">
        <x:v>Yes</x:v>
      </x:c>
      <x:c r="I25" s="8" t="n">
        <x:v>-318.75</x:v>
      </x:c>
      <x:c r="J25" s="8" t="n">
        <x:v>2657.36</x:v>
      </x:c>
      <x:c r="K25" t="str">
        <x:v>2026-04</x:v>
      </x:c>
      <x:c r="L25" t="str"/>
    </x:row>
    <x:row r="26">
      <x:c r="A26" s="6" t="n">
        <x:v>46129</x:v>
      </x:c>
      <x:c r="B26" t="str">
        <x:v>TXN-000044</x:v>
      </x:c>
      <x:c r="C26" t="str">
        <x:v>AUTO REPAIR OIL CHANGE</x:v>
      </x:c>
      <x:c r="D26" t="str">
        <x:v>Jiffy Lube</x:v>
      </x:c>
      <x:c r="E26" t="str">
        <x:v>Auto maintenance</x:v>
      </x:c>
      <x:c r="F26" t="str">
        <x:v>Expense</x:v>
      </x:c>
      <x:c r="G26" t="str">
        <x:v>Debit card</x:v>
      </x:c>
      <x:c r="H26" t="str">
        <x:v>No</x:v>
      </x:c>
      <x:c r="I26" s="8" t="n">
        <x:v>-79.95</x:v>
      </x:c>
      <x:c r="J26" s="8" t="n">
        <x:v>2577.41</x:v>
      </x:c>
      <x:c r="K26" t="str">
        <x:v>2026-04</x:v>
      </x:c>
      <x:c r="L26" t="str"/>
    </x:row>
    <x:row r="27">
      <x:c r="A27" s="6" t="n">
        <x:v>46130</x:v>
      </x:c>
      <x:c r="B27" t="str">
        <x:v>TXN-000023</x:v>
      </x:c>
      <x:c r="C27" t="str">
        <x:v>POS PURCHASE WALMART SUPERCENTER #7049</x:v>
      </x:c>
      <x:c r="D27" t="str">
        <x:v>Walmart Supercenter</x:v>
      </x:c>
      <x:c r="E27" t="str">
        <x:v>Groceries</x:v>
      </x:c>
      <x:c r="F27" t="str">
        <x:v>Expense</x:v>
      </x:c>
      <x:c r="G27" t="str">
        <x:v>Debit card</x:v>
      </x:c>
      <x:c r="H27" t="str">
        <x:v>No</x:v>
      </x:c>
      <x:c r="I27" s="8" t="n">
        <x:v>-48.71</x:v>
      </x:c>
      <x:c r="J27" s="8" t="n">
        <x:v>2528.7</x:v>
      </x:c>
      <x:c r="K27" t="str">
        <x:v>2026-04</x:v>
      </x:c>
      <x:c r="L27" t="str"/>
    </x:row>
    <x:row r="28">
      <x:c r="A28" s="6" t="n">
        <x:v>46130</x:v>
      </x:c>
      <x:c r="B28" t="str">
        <x:v>TXN-000033</x:v>
      </x:c>
      <x:c r="C28" t="str">
        <x:v>POS PURCHASE CAVA</x:v>
      </x:c>
      <x:c r="D28" t="str">
        <x:v>Cava</x:v>
      </x:c>
      <x:c r="E28" t="str">
        <x:v>Dining out</x:v>
      </x:c>
      <x:c r="F28" t="str">
        <x:v>Expense</x:v>
      </x:c>
      <x:c r="G28" t="str">
        <x:v>Debit card</x:v>
      </x:c>
      <x:c r="H28" t="str">
        <x:v>No</x:v>
      </x:c>
      <x:c r="I28" s="8" t="n">
        <x:v>-11.12</x:v>
      </x:c>
      <x:c r="J28" s="8" t="n">
        <x:v>2517.58</x:v>
      </x:c>
      <x:c r="K28" t="str">
        <x:v>2026-04</x:v>
      </x:c>
      <x:c r="L28" t="str"/>
    </x:row>
    <x:row r="29">
      <x:c r="A29" s="6" t="n">
        <x:v>46131</x:v>
      </x:c>
      <x:c r="B29" t="str">
        <x:v>TXN-000011</x:v>
      </x:c>
      <x:c r="C29" t="str">
        <x:v>APPLE ICLOUD STORAGE</x:v>
      </x:c>
      <x:c r="D29" t="str">
        <x:v>Apple</x:v>
      </x:c>
      <x:c r="E29" t="str">
        <x:v>Subscriptions</x:v>
      </x:c>
      <x:c r="F29" t="str">
        <x:v>Expense</x:v>
      </x:c>
      <x:c r="G29" t="str">
        <x:v>Card on file</x:v>
      </x:c>
      <x:c r="H29" t="str">
        <x:v>Yes</x:v>
      </x:c>
      <x:c r="I29" s="8" t="n">
        <x:v>-2.99</x:v>
      </x:c>
      <x:c r="J29" s="8" t="n">
        <x:v>2514.59</x:v>
      </x:c>
      <x:c r="K29" t="str">
        <x:v>2026-04</x:v>
      </x:c>
      <x:c r="L29" t="str"/>
    </x:row>
    <x:row r="30">
      <x:c r="A30" s="6" t="n">
        <x:v>46131</x:v>
      </x:c>
      <x:c r="B30" t="str">
        <x:v>TXN-000029</x:v>
      </x:c>
      <x:c r="C30" t="str">
        <x:v>PAY AT PUMP WAWA</x:v>
      </x:c>
      <x:c r="D30" t="str">
        <x:v>Wawa</x:v>
      </x:c>
      <x:c r="E30" t="str">
        <x:v>Gas &amp; fuel</x:v>
      </x:c>
      <x:c r="F30" t="str">
        <x:v>Expense</x:v>
      </x:c>
      <x:c r="G30" t="str">
        <x:v>Debit card</x:v>
      </x:c>
      <x:c r="H30" t="str">
        <x:v>No</x:v>
      </x:c>
      <x:c r="I30" s="8" t="n">
        <x:v>-44.98</x:v>
      </x:c>
      <x:c r="J30" s="8" t="n">
        <x:v>2469.61</x:v>
      </x:c>
      <x:c r="K30" t="str">
        <x:v>2026-04</x:v>
      </x:c>
      <x:c r="L30" t="str"/>
    </x:row>
    <x:row r="31">
      <x:c r="A31" s="6" t="n">
        <x:v>46132</x:v>
      </x:c>
      <x:c r="B31" t="str">
        <x:v>TXN-000012</x:v>
      </x:c>
      <x:c r="C31" t="str">
        <x:v>STATE FARM RENTERS INSURANCE</x:v>
      </x:c>
      <x:c r="D31" t="str">
        <x:v>State Farm</x:v>
      </x:c>
      <x:c r="E31" t="str">
        <x:v>Insurance</x:v>
      </x:c>
      <x:c r="F31" t="str">
        <x:v>Expense</x:v>
      </x:c>
      <x:c r="G31" t="str">
        <x:v>ACH</x:v>
      </x:c>
      <x:c r="H31" t="str">
        <x:v>Yes</x:v>
      </x:c>
      <x:c r="I31" s="8" t="n">
        <x:v>-18.25</x:v>
      </x:c>
      <x:c r="J31" s="8" t="n">
        <x:v>2451.36</x:v>
      </x:c>
      <x:c r="K31" t="str">
        <x:v>2026-04</x:v>
      </x:c>
      <x:c r="L31" t="str"/>
    </x:row>
    <x:row r="32">
      <x:c r="A32" s="6" t="n">
        <x:v>46132</x:v>
      </x:c>
      <x:c r="B32" t="str">
        <x:v>TXN-000042</x:v>
      </x:c>
      <x:c r="C32" t="str">
        <x:v>CVS PHARMACY PURCHASE</x:v>
      </x:c>
      <x:c r="D32" t="str">
        <x:v>CVS</x:v>
      </x:c>
      <x:c r="E32" t="str">
        <x:v>Health &amp; pharmacy</x:v>
      </x:c>
      <x:c r="F32" t="str">
        <x:v>Expense</x:v>
      </x:c>
      <x:c r="G32" t="str">
        <x:v>Debit card</x:v>
      </x:c>
      <x:c r="H32" t="str">
        <x:v>No</x:v>
      </x:c>
      <x:c r="I32" s="8" t="n">
        <x:v>-30.38</x:v>
      </x:c>
      <x:c r="J32" s="8" t="n">
        <x:v>2420.98</x:v>
      </x:c>
      <x:c r="K32" t="str">
        <x:v>2026-04</x:v>
      </x:c>
      <x:c r="L32" t="str"/>
    </x:row>
    <x:row r="33">
      <x:c r="A33" s="6" t="n">
        <x:v>46133</x:v>
      </x:c>
      <x:c r="B33" t="str">
        <x:v>TXN-000013</x:v>
      </x:c>
      <x:c r="C33" t="str">
        <x:v>PAYMENT STUDENT LOAN SERVICER</x:v>
      </x:c>
      <x:c r="D33" t="str">
        <x:v>Federal Student Aid Servicer</x:v>
      </x:c>
      <x:c r="E33" t="str">
        <x:v>Student loans</x:v>
      </x:c>
      <x:c r="F33" t="str">
        <x:v>Expense</x:v>
      </x:c>
      <x:c r="G33" t="str">
        <x:v>ACH</x:v>
      </x:c>
      <x:c r="H33" t="str">
        <x:v>Yes</x:v>
      </x:c>
      <x:c r="I33" s="8" t="n">
        <x:v>-185</x:v>
      </x:c>
      <x:c r="J33" s="8" t="n">
        <x:v>2235.98</x:v>
      </x:c>
      <x:c r="K33" t="str">
        <x:v>2026-04</x:v>
      </x:c>
      <x:c r="L33" t="str"/>
    </x:row>
    <x:row r="34">
      <x:c r="A34" s="6" t="n">
        <x:v>46134</x:v>
      </x:c>
      <x:c r="B34" t="str">
        <x:v>TXN-000024</x:v>
      </x:c>
      <x:c r="C34" t="str">
        <x:v>POS PURCHASE GIANT FOOD #7195</x:v>
      </x:c>
      <x:c r="D34" t="str">
        <x:v>Giant Food</x:v>
      </x:c>
      <x:c r="E34" t="str">
        <x:v>Groceries</x:v>
      </x:c>
      <x:c r="F34" t="str">
        <x:v>Expense</x:v>
      </x:c>
      <x:c r="G34" t="str">
        <x:v>Debit card</x:v>
      </x:c>
      <x:c r="H34" t="str">
        <x:v>No</x:v>
      </x:c>
      <x:c r="I34" s="8" t="n">
        <x:v>-60.23</x:v>
      </x:c>
      <x:c r="J34" s="8" t="n">
        <x:v>2175.75</x:v>
      </x:c>
      <x:c r="K34" t="str">
        <x:v>2026-04</x:v>
      </x:c>
      <x:c r="L34" t="str"/>
    </x:row>
    <x:row r="35">
      <x:c r="A35" s="6" t="n">
        <x:v>46134</x:v>
      </x:c>
      <x:c r="B35" t="str">
        <x:v>TXN-000037</x:v>
      </x:c>
      <x:c r="C35" t="str">
        <x:v>PARKING / PUBLIC TRANSIT</x:v>
      </x:c>
      <x:c r="D35" t="str">
        <x:v>Local Transit</x:v>
      </x:c>
      <x:c r="E35" t="str">
        <x:v>Transportation</x:v>
      </x:c>
      <x:c r="F35" t="str">
        <x:v>Expense</x:v>
      </x:c>
      <x:c r="G35" t="str">
        <x:v>Debit card</x:v>
      </x:c>
      <x:c r="H35" t="str">
        <x:v>No</x:v>
      </x:c>
      <x:c r="I35" s="8" t="n">
        <x:v>-15.01</x:v>
      </x:c>
      <x:c r="J35" s="8" t="n">
        <x:v>2160.74</x:v>
      </x:c>
      <x:c r="K35" t="str">
        <x:v>2026-04</x:v>
      </x:c>
      <x:c r="L35" t="str"/>
    </x:row>
    <x:row r="36">
      <x:c r="A36" s="6" t="n">
        <x:v>46135</x:v>
      </x:c>
      <x:c r="B36" t="str">
        <x:v>TXN-000034</x:v>
      </x:c>
      <x:c r="C36" t="str">
        <x:v>POS PURCHASE DOMINOS PIZZA</x:v>
      </x:c>
      <x:c r="D36" t="str">
        <x:v>Dominos Pizza</x:v>
      </x:c>
      <x:c r="E36" t="str">
        <x:v>Dining out</x:v>
      </x:c>
      <x:c r="F36" t="str">
        <x:v>Expense</x:v>
      </x:c>
      <x:c r="G36" t="str">
        <x:v>Debit card</x:v>
      </x:c>
      <x:c r="H36" t="str">
        <x:v>No</x:v>
      </x:c>
      <x:c r="I36" s="8" t="n">
        <x:v>-16.54</x:v>
      </x:c>
      <x:c r="J36" s="8" t="n">
        <x:v>2144.2</x:v>
      </x:c>
      <x:c r="K36" t="str">
        <x:v>2026-04</x:v>
      </x:c>
      <x:c r="L36" t="str"/>
    </x:row>
    <x:row r="37">
      <x:c r="A37" s="6" t="n">
        <x:v>46135</x:v>
      </x:c>
      <x:c r="B37" t="str">
        <x:v>TXN-000045</x:v>
      </x:c>
      <x:c r="C37" t="str">
        <x:v>ATM CASH WITHDRAWAL</x:v>
      </x:c>
      <x:c r="D37" t="str">
        <x:v>ATM</x:v>
      </x:c>
      <x:c r="E37" t="str">
        <x:v>Cash withdrawal</x:v>
      </x:c>
      <x:c r="F37" t="str">
        <x:v>Expense</x:v>
      </x:c>
      <x:c r="G37" t="str">
        <x:v>Debit card</x:v>
      </x:c>
      <x:c r="H37" t="str">
        <x:v>No</x:v>
      </x:c>
      <x:c r="I37" s="8" t="n">
        <x:v>-60</x:v>
      </x:c>
      <x:c r="J37" s="8" t="n">
        <x:v>2084.2</x:v>
      </x:c>
      <x:c r="K37" t="str">
        <x:v>2026-04</x:v>
      </x:c>
      <x:c r="L37" t="str"/>
    </x:row>
    <x:row r="38">
      <x:c r="A38" s="6" t="n">
        <x:v>46136</x:v>
      </x:c>
      <x:c r="B38" t="str">
        <x:v>TXN-000039</x:v>
      </x:c>
      <x:c r="C38" t="str">
        <x:v>ONLINE PURCHASE TARGET</x:v>
      </x:c>
      <x:c r="D38" t="str">
        <x:v>Target</x:v>
      </x:c>
      <x:c r="E38" t="str">
        <x:v>Shopping</x:v>
      </x:c>
      <x:c r="F38" t="str">
        <x:v>Expense</x:v>
      </x:c>
      <x:c r="G38" t="str">
        <x:v>Card on file</x:v>
      </x:c>
      <x:c r="H38" t="str">
        <x:v>No</x:v>
      </x:c>
      <x:c r="I38" s="8" t="n">
        <x:v>-82.13</x:v>
      </x:c>
      <x:c r="J38" s="8" t="n">
        <x:v>2002.07</x:v>
      </x:c>
      <x:c r="K38" t="str">
        <x:v>2026-04</x:v>
      </x:c>
      <x:c r="L38" t="str"/>
    </x:row>
    <x:row r="39">
      <x:c r="A39" s="6" t="n">
        <x:v>46137</x:v>
      </x:c>
      <x:c r="B39" t="str">
        <x:v>TXN-000014</x:v>
      </x:c>
      <x:c r="C39" t="str">
        <x:v>AMAZON PRIME MEMBERSHIP</x:v>
      </x:c>
      <x:c r="D39" t="str">
        <x:v>Amazon</x:v>
      </x:c>
      <x:c r="E39" t="str">
        <x:v>Subscriptions</x:v>
      </x:c>
      <x:c r="F39" t="str">
        <x:v>Expense</x:v>
      </x:c>
      <x:c r="G39" t="str">
        <x:v>Card on file</x:v>
      </x:c>
      <x:c r="H39" t="str">
        <x:v>Yes</x:v>
      </x:c>
      <x:c r="I39" s="8" t="n">
        <x:v>-14.99</x:v>
      </x:c>
      <x:c r="J39" s="8" t="n">
        <x:v>1987.08</x:v>
      </x:c>
      <x:c r="K39" t="str">
        <x:v>2026-04</x:v>
      </x:c>
      <x:c r="L39" t="str"/>
    </x:row>
    <x:row r="40">
      <x:c r="A40" s="6" t="n">
        <x:v>46138</x:v>
      </x:c>
      <x:c r="B40" t="str">
        <x:v>TXN-000025</x:v>
      </x:c>
      <x:c r="C40" t="str">
        <x:v>POS PURCHASE GIANT FOOD #8024</x:v>
      </x:c>
      <x:c r="D40" t="str">
        <x:v>Giant Food</x:v>
      </x:c>
      <x:c r="E40" t="str">
        <x:v>Groceries</x:v>
      </x:c>
      <x:c r="F40" t="str">
        <x:v>Expense</x:v>
      </x:c>
      <x:c r="G40" t="str">
        <x:v>Debit card</x:v>
      </x:c>
      <x:c r="H40" t="str">
        <x:v>No</x:v>
      </x:c>
      <x:c r="I40" s="8" t="n">
        <x:v>-87.49</x:v>
      </x:c>
      <x:c r="J40" s="8" t="n">
        <x:v>1899.59</x:v>
      </x:c>
      <x:c r="K40" t="str">
        <x:v>2026-04</x:v>
      </x:c>
      <x:c r="L40" t="str"/>
    </x:row>
    <x:row r="41">
      <x:c r="A41" s="6" t="n">
        <x:v>46139</x:v>
      </x:c>
      <x:c r="B41" t="str">
        <x:v>TXN-000030</x:v>
      </x:c>
      <x:c r="C41" t="str">
        <x:v>PAY AT PUMP WAWA</x:v>
      </x:c>
      <x:c r="D41" t="str">
        <x:v>Wawa</x:v>
      </x:c>
      <x:c r="E41" t="str">
        <x:v>Gas &amp; fuel</x:v>
      </x:c>
      <x:c r="F41" t="str">
        <x:v>Expense</x:v>
      </x:c>
      <x:c r="G41" t="str">
        <x:v>Debit card</x:v>
      </x:c>
      <x:c r="H41" t="str">
        <x:v>No</x:v>
      </x:c>
      <x:c r="I41" s="8" t="n">
        <x:v>-37.95</x:v>
      </x:c>
      <x:c r="J41" s="8" t="n">
        <x:v>1861.64</x:v>
      </x:c>
      <x:c r="K41" t="str">
        <x:v>2026-04</x:v>
      </x:c>
      <x:c r="L41" t="str"/>
    </x:row>
    <x:row r="42">
      <x:c r="A42" s="6" t="n">
        <x:v>46139</x:v>
      </x:c>
      <x:c r="B42" t="str">
        <x:v>TXN-000041</x:v>
      </x:c>
      <x:c r="C42" t="str">
        <x:v>CARD PURCHASE AMC THEATRES</x:v>
      </x:c>
      <x:c r="D42" t="str">
        <x:v>AMC Theatres</x:v>
      </x:c>
      <x:c r="E42" t="str">
        <x:v>Entertainment</x:v>
      </x:c>
      <x:c r="F42" t="str">
        <x:v>Expense</x:v>
      </x:c>
      <x:c r="G42" t="str">
        <x:v>Debit card</x:v>
      </x:c>
      <x:c r="H42" t="str">
        <x:v>No</x:v>
      </x:c>
      <x:c r="I42" s="8" t="n">
        <x:v>-34.36</x:v>
      </x:c>
      <x:c r="J42" s="8" t="n">
        <x:v>1827.28</x:v>
      </x:c>
      <x:c r="K42" t="str">
        <x:v>2026-04</x:v>
      </x:c>
      <x:c r="L42" t="str"/>
    </x:row>
    <x:row r="43">
      <x:c r="A43" s="6" t="n">
        <x:v>46140</x:v>
      </x:c>
      <x:c r="B43" t="str">
        <x:v>TXN-000035</x:v>
      </x:c>
      <x:c r="C43" t="str">
        <x:v>POS PURCHASE LOCAL THAI KITCHEN</x:v>
      </x:c>
      <x:c r="D43" t="str">
        <x:v>Local Thai Kitchen</x:v>
      </x:c>
      <x:c r="E43" t="str">
        <x:v>Dining out</x:v>
      </x:c>
      <x:c r="F43" t="str">
        <x:v>Expense</x:v>
      </x:c>
      <x:c r="G43" t="str">
        <x:v>Debit card</x:v>
      </x:c>
      <x:c r="H43" t="str">
        <x:v>No</x:v>
      </x:c>
      <x:c r="I43" s="8" t="n">
        <x:v>-18.92</x:v>
      </x:c>
      <x:c r="J43" s="8" t="n">
        <x:v>1808.36</x:v>
      </x:c>
      <x:c r="K43" t="str">
        <x:v>2026-04</x:v>
      </x:c>
      <x:c r="L43" t="str"/>
    </x:row>
    <x:row r="44">
      <x:c r="A44" s="6" t="n">
        <x:v>46141</x:v>
      </x:c>
      <x:c r="B44" t="str">
        <x:v>TXN-000026</x:v>
      </x:c>
      <x:c r="C44" t="str">
        <x:v>POS PURCHASE ALDI #9690</x:v>
      </x:c>
      <x:c r="D44" t="str">
        <x:v>Aldi</x:v>
      </x:c>
      <x:c r="E44" t="str">
        <x:v>Groceries</x:v>
      </x:c>
      <x:c r="F44" t="str">
        <x:v>Expense</x:v>
      </x:c>
      <x:c r="G44" t="str">
        <x:v>Debit card</x:v>
      </x:c>
      <x:c r="H44" t="str">
        <x:v>No</x:v>
      </x:c>
      <x:c r="I44" s="8" t="n">
        <x:v>-71.05</x:v>
      </x:c>
      <x:c r="J44" s="8" t="n">
        <x:v>1737.31</x:v>
      </x:c>
      <x:c r="K44" t="str">
        <x:v>2026-04</x:v>
      </x:c>
      <x:c r="L44" t="str"/>
    </x:row>
    <x:row r="45">
      <x:c r="A45" s="6" t="n">
        <x:v>46142</x:v>
      </x:c>
      <x:c r="B45" t="str">
        <x:v>TXN-000017</x:v>
      </x:c>
      <x:c r="C45" t="str">
        <x:v>PAYROLL DIRECT DEP / BRIGHTWAVE SYSTEMS</x:v>
      </x:c>
      <x:c r="D45" t="str">
        <x:v>BrightWave Systems</x:v>
      </x:c>
      <x:c r="E45" t="str">
        <x:v>Paycheck</x:v>
      </x:c>
      <x:c r="F45" t="str">
        <x:v>Income</x:v>
      </x:c>
      <x:c r="G45" t="str">
        <x:v>Direct deposit</x:v>
      </x:c>
      <x:c r="H45" t="str">
        <x:v>Yes</x:v>
      </x:c>
      <x:c r="I45" s="8" t="n">
        <x:v>2443.47</x:v>
      </x:c>
      <x:c r="J45" s="8" t="n">
        <x:v>4180.78</x:v>
      </x:c>
      <x:c r="K45" t="str">
        <x:v>2026-04</x:v>
      </x:c>
      <x:c r="L45" t="str">
        <x:v>Net payroll; gross and withholdings in Profile</x:v>
      </x:c>
    </x:row>
    <x:row r="46">
      <x:c r="A46" s="6" t="n">
        <x:v>46142</x:v>
      </x:c>
      <x:c r="B46" t="str">
        <x:v>TXN-000018</x:v>
      </x:c>
      <x:c r="C46" t="str">
        <x:v>ONLINE TRANSFER TO SAVINGS ****7721</x:v>
      </x:c>
      <x:c r="D46" t="str">
        <x:v>Internal savings transfer</x:v>
      </x:c>
      <x:c r="E46" t="str">
        <x:v>Savings transfer</x:v>
      </x:c>
      <x:c r="F46" t="str">
        <x:v>Transfer</x:v>
      </x:c>
      <x:c r="G46" t="str">
        <x:v>Internal transfer</x:v>
      </x:c>
      <x:c r="H46" t="str">
        <x:v>Yes</x:v>
      </x:c>
      <x:c r="I46" s="8" t="n">
        <x:v>-300</x:v>
      </x:c>
      <x:c r="J46" s="8" t="n">
        <x:v>3880.78</x:v>
      </x:c>
      <x:c r="K46" t="str">
        <x:v>2026-04</x:v>
      </x:c>
      <x:c r="L46" t="str"/>
    </x:row>
    <x:row r="47">
      <x:c r="A47" s="6" t="n">
        <x:v>46143</x:v>
      </x:c>
      <x:c r="B47" t="str">
        <x:v>TXN-000046</x:v>
      </x:c>
      <x:c r="C47" t="str">
        <x:v>RENT PMT GREENWOOD APARTMENTS</x:v>
      </x:c>
      <x:c r="D47" t="str">
        <x:v>Greenwood Apartments</x:v>
      </x:c>
      <x:c r="E47" t="str">
        <x:v>Housing</x:v>
      </x:c>
      <x:c r="F47" t="str">
        <x:v>Expense</x:v>
      </x:c>
      <x:c r="G47" t="str">
        <x:v>ACH</x:v>
      </x:c>
      <x:c r="H47" t="str">
        <x:v>Yes</x:v>
      </x:c>
      <x:c r="I47" s="8" t="n">
        <x:v>-1475</x:v>
      </x:c>
      <x:c r="J47" s="8" t="n">
        <x:v>2405.78</x:v>
      </x:c>
      <x:c r="K47" t="str">
        <x:v>2026-05</x:v>
      </x:c>
      <x:c r="L47" t="str"/>
    </x:row>
    <x:row r="48">
      <x:c r="A48" s="6" t="n">
        <x:v>46144</x:v>
      </x:c>
      <x:c r="B48" t="str">
        <x:v>TXN-000047</x:v>
      </x:c>
      <x:c r="C48" t="str">
        <x:v>PECO ENERGY AUTOPAY</x:v>
      </x:c>
      <x:c r="D48" t="str">
        <x:v>PECO Energy</x:v>
      </x:c>
      <x:c r="E48" t="str">
        <x:v>Utilities</x:v>
      </x:c>
      <x:c r="F48" t="str">
        <x:v>Expense</x:v>
      </x:c>
      <x:c r="G48" t="str">
        <x:v>ACH</x:v>
      </x:c>
      <x:c r="H48" t="str">
        <x:v>Yes</x:v>
      </x:c>
      <x:c r="I48" s="8" t="n">
        <x:v>-113.48</x:v>
      </x:c>
      <x:c r="J48" s="8" t="n">
        <x:v>2292.3</x:v>
      </x:c>
      <x:c r="K48" t="str">
        <x:v>2026-05</x:v>
      </x:c>
      <x:c r="L48" t="str"/>
    </x:row>
    <x:row r="49">
      <x:c r="A49" s="6" t="n">
        <x:v>46144</x:v>
      </x:c>
      <x:c r="B49" t="str">
        <x:v>TXN-000064</x:v>
      </x:c>
      <x:c r="C49" t="str">
        <x:v>POS PURCHASE WALMART SUPERCENTER #3899</x:v>
      </x:c>
      <x:c r="D49" t="str">
        <x:v>Walmart Supercenter</x:v>
      </x:c>
      <x:c r="E49" t="str">
        <x:v>Groceries</x:v>
      </x:c>
      <x:c r="F49" t="str">
        <x:v>Expense</x:v>
      </x:c>
      <x:c r="G49" t="str">
        <x:v>Debit card</x:v>
      </x:c>
      <x:c r="H49" t="str">
        <x:v>No</x:v>
      </x:c>
      <x:c r="I49" s="8" t="n">
        <x:v>-94.87</x:v>
      </x:c>
      <x:c r="J49" s="8" t="n">
        <x:v>2197.43</x:v>
      </x:c>
      <x:c r="K49" t="str">
        <x:v>2026-05</x:v>
      </x:c>
      <x:c r="L49" t="str"/>
    </x:row>
    <x:row r="50">
      <x:c r="A50" s="6" t="n">
        <x:v>46145</x:v>
      </x:c>
      <x:c r="B50" t="str">
        <x:v>TXN-000048</x:v>
      </x:c>
      <x:c r="C50" t="str">
        <x:v>COMCAST INTERNET AUTOPAY</x:v>
      </x:c>
      <x:c r="D50" t="str">
        <x:v>Xfinity</x:v>
      </x:c>
      <x:c r="E50" t="str">
        <x:v>Internet</x:v>
      </x:c>
      <x:c r="F50" t="str">
        <x:v>Expense</x:v>
      </x:c>
      <x:c r="G50" t="str">
        <x:v>ACH</x:v>
      </x:c>
      <x:c r="H50" t="str">
        <x:v>Yes</x:v>
      </x:c>
      <x:c r="I50" s="8" t="n">
        <x:v>-65</x:v>
      </x:c>
      <x:c r="J50" s="8" t="n">
        <x:v>2132.43</x:v>
      </x:c>
      <x:c r="K50" t="str">
        <x:v>2026-05</x:v>
      </x:c>
      <x:c r="L50" t="str"/>
    </x:row>
    <x:row r="51">
      <x:c r="A51" s="6" t="n">
        <x:v>46145</x:v>
      </x:c>
      <x:c r="B51" t="str">
        <x:v>TXN-000072</x:v>
      </x:c>
      <x:c r="C51" t="str">
        <x:v>PAY AT PUMP SHEETZ</x:v>
      </x:c>
      <x:c r="D51" t="str">
        <x:v>Sheetz</x:v>
      </x:c>
      <x:c r="E51" t="str">
        <x:v>Gas &amp; fuel</x:v>
      </x:c>
      <x:c r="F51" t="str">
        <x:v>Expense</x:v>
      </x:c>
      <x:c r="G51" t="str">
        <x:v>Debit card</x:v>
      </x:c>
      <x:c r="H51" t="str">
        <x:v>No</x:v>
      </x:c>
      <x:c r="I51" s="8" t="n">
        <x:v>-38.73</x:v>
      </x:c>
      <x:c r="J51" s="8" t="n">
        <x:v>2093.7</x:v>
      </x:c>
      <x:c r="K51" t="str">
        <x:v>2026-05</x:v>
      </x:c>
      <x:c r="L51" t="str"/>
    </x:row>
    <x:row r="52">
      <x:c r="A52" s="6" t="n">
        <x:v>46146</x:v>
      </x:c>
      <x:c r="B52" t="str">
        <x:v>TXN-000049</x:v>
      </x:c>
      <x:c r="C52" t="str">
        <x:v>SPOTIFY PREMIUM</x:v>
      </x:c>
      <x:c r="D52" t="str">
        <x:v>Spotify</x:v>
      </x:c>
      <x:c r="E52" t="str">
        <x:v>Subscriptions</x:v>
      </x:c>
      <x:c r="F52" t="str">
        <x:v>Expense</x:v>
      </x:c>
      <x:c r="G52" t="str">
        <x:v>Card on file</x:v>
      </x:c>
      <x:c r="H52" t="str">
        <x:v>Yes</x:v>
      </x:c>
      <x:c r="I52" s="8" t="n">
        <x:v>-11.99</x:v>
      </x:c>
      <x:c r="J52" s="8" t="n">
        <x:v>2081.71</x:v>
      </x:c>
      <x:c r="K52" t="str">
        <x:v>2026-05</x:v>
      </x:c>
      <x:c r="L52" t="str"/>
    </x:row>
    <x:row r="53">
      <x:c r="A53" s="6" t="n">
        <x:v>46147</x:v>
      </x:c>
      <x:c r="B53" t="str">
        <x:v>TXN-000050</x:v>
      </x:c>
      <x:c r="C53" t="str">
        <x:v>VERIZON WIRELESS</x:v>
      </x:c>
      <x:c r="D53" t="str">
        <x:v>Verizon</x:v>
      </x:c>
      <x:c r="E53" t="str">
        <x:v>Phone</x:v>
      </x:c>
      <x:c r="F53" t="str">
        <x:v>Expense</x:v>
      </x:c>
      <x:c r="G53" t="str">
        <x:v>ACH</x:v>
      </x:c>
      <x:c r="H53" t="str">
        <x:v>Yes</x:v>
      </x:c>
      <x:c r="I53" s="8" t="n">
        <x:v>-62</x:v>
      </x:c>
      <x:c r="J53" s="8" t="n">
        <x:v>2019.71</x:v>
      </x:c>
      <x:c r="K53" t="str">
        <x:v>2026-05</x:v>
      </x:c>
      <x:c r="L53" t="str"/>
    </x:row>
    <x:row r="54">
      <x:c r="A54" s="6" t="n">
        <x:v>46147</x:v>
      </x:c>
      <x:c r="B54" t="str">
        <x:v>TXN-000076</x:v>
      </x:c>
      <x:c r="C54" t="str">
        <x:v>POS PURCHASE CAVA</x:v>
      </x:c>
      <x:c r="D54" t="str">
        <x:v>Cava</x:v>
      </x:c>
      <x:c r="E54" t="str">
        <x:v>Dining out</x:v>
      </x:c>
      <x:c r="F54" t="str">
        <x:v>Expense</x:v>
      </x:c>
      <x:c r="G54" t="str">
        <x:v>Debit card</x:v>
      </x:c>
      <x:c r="H54" t="str">
        <x:v>No</x:v>
      </x:c>
      <x:c r="I54" s="8" t="n">
        <x:v>-24.79</x:v>
      </x:c>
      <x:c r="J54" s="8" t="n">
        <x:v>1994.92</x:v>
      </x:c>
      <x:c r="K54" t="str">
        <x:v>2026-05</x:v>
      </x:c>
      <x:c r="L54" t="str"/>
    </x:row>
    <x:row r="55">
      <x:c r="A55" s="6" t="n">
        <x:v>46148</x:v>
      </x:c>
      <x:c r="B55" t="str">
        <x:v>TXN-000065</x:v>
      </x:c>
      <x:c r="C55" t="str">
        <x:v>POS PURCHASE ALDI #5325</x:v>
      </x:c>
      <x:c r="D55" t="str">
        <x:v>Aldi</x:v>
      </x:c>
      <x:c r="E55" t="str">
        <x:v>Groceries</x:v>
      </x:c>
      <x:c r="F55" t="str">
        <x:v>Expense</x:v>
      </x:c>
      <x:c r="G55" t="str">
        <x:v>Debit card</x:v>
      </x:c>
      <x:c r="H55" t="str">
        <x:v>No</x:v>
      </x:c>
      <x:c r="I55" s="8" t="n">
        <x:v>-51.73</x:v>
      </x:c>
      <x:c r="J55" s="8" t="n">
        <x:v>1943.19</x:v>
      </x:c>
      <x:c r="K55" t="str">
        <x:v>2026-05</x:v>
      </x:c>
      <x:c r="L55" t="str"/>
    </x:row>
    <x:row r="56">
      <x:c r="A56" s="6" t="n">
        <x:v>46149</x:v>
      </x:c>
      <x:c r="B56" t="str">
        <x:v>TXN-000051</x:v>
      </x:c>
      <x:c r="C56" t="str">
        <x:v>ALLSTATE AUTO INSURANCE</x:v>
      </x:c>
      <x:c r="D56" t="str">
        <x:v>Allstate</x:v>
      </x:c>
      <x:c r="E56" t="str">
        <x:v>Insurance</x:v>
      </x:c>
      <x:c r="F56" t="str">
        <x:v>Expense</x:v>
      </x:c>
      <x:c r="G56" t="str">
        <x:v>ACH</x:v>
      </x:c>
      <x:c r="H56" t="str">
        <x:v>Yes</x:v>
      </x:c>
      <x:c r="I56" s="8" t="n">
        <x:v>-142.6</x:v>
      </x:c>
      <x:c r="J56" s="8" t="n">
        <x:v>1800.59</x:v>
      </x:c>
      <x:c r="K56" t="str">
        <x:v>2026-05</x:v>
      </x:c>
      <x:c r="L56" t="str"/>
    </x:row>
    <x:row r="57">
      <x:c r="A57" s="6" t="n">
        <x:v>46149</x:v>
      </x:c>
      <x:c r="B57" t="str">
        <x:v>TXN-000083</x:v>
      </x:c>
      <x:c r="C57" t="str">
        <x:v>ONLINE PURCHASE BEST BUY</x:v>
      </x:c>
      <x:c r="D57" t="str">
        <x:v>Best Buy</x:v>
      </x:c>
      <x:c r="E57" t="str">
        <x:v>Shopping</x:v>
      </x:c>
      <x:c r="F57" t="str">
        <x:v>Expense</x:v>
      </x:c>
      <x:c r="G57" t="str">
        <x:v>Card on file</x:v>
      </x:c>
      <x:c r="H57" t="str">
        <x:v>No</x:v>
      </x:c>
      <x:c r="I57" s="8" t="n">
        <x:v>-20.14</x:v>
      </x:c>
      <x:c r="J57" s="8" t="n">
        <x:v>1780.45</x:v>
      </x:c>
      <x:c r="K57" t="str">
        <x:v>2026-05</x:v>
      </x:c>
      <x:c r="L57" t="str"/>
    </x:row>
    <x:row r="58">
      <x:c r="A58" s="6" t="n">
        <x:v>46150</x:v>
      </x:c>
      <x:c r="B58" t="str">
        <x:v>TXN-000081</x:v>
      </x:c>
      <x:c r="C58" t="str">
        <x:v>PARKING / PUBLIC TRANSIT</x:v>
      </x:c>
      <x:c r="D58" t="str">
        <x:v>Local Transit</x:v>
      </x:c>
      <x:c r="E58" t="str">
        <x:v>Transportation</x:v>
      </x:c>
      <x:c r="F58" t="str">
        <x:v>Expense</x:v>
      </x:c>
      <x:c r="G58" t="str">
        <x:v>Debit card</x:v>
      </x:c>
      <x:c r="H58" t="str">
        <x:v>No</x:v>
      </x:c>
      <x:c r="I58" s="8" t="n">
        <x:v>-16.82</x:v>
      </x:c>
      <x:c r="J58" s="8" t="n">
        <x:v>1763.63</x:v>
      </x:c>
      <x:c r="K58" t="str">
        <x:v>2026-05</x:v>
      </x:c>
      <x:c r="L58" t="str"/>
    </x:row>
    <x:row r="59">
      <x:c r="A59" s="6" t="n">
        <x:v>46151</x:v>
      </x:c>
      <x:c r="B59" t="str">
        <x:v>TXN-000052</x:v>
      </x:c>
      <x:c r="C59" t="str">
        <x:v>CITY WATER SEWER</x:v>
      </x:c>
      <x:c r="D59" t="str">
        <x:v>City Utilities</x:v>
      </x:c>
      <x:c r="E59" t="str">
        <x:v>Utilities</x:v>
      </x:c>
      <x:c r="F59" t="str">
        <x:v>Expense</x:v>
      </x:c>
      <x:c r="G59" t="str">
        <x:v>ACH</x:v>
      </x:c>
      <x:c r="H59" t="str">
        <x:v>Yes</x:v>
      </x:c>
      <x:c r="I59" s="8" t="n">
        <x:v>-49.93</x:v>
      </x:c>
      <x:c r="J59" s="8" t="n">
        <x:v>1713.7</x:v>
      </x:c>
      <x:c r="K59" t="str">
        <x:v>2026-05</x:v>
      </x:c>
      <x:c r="L59" t="str"/>
    </x:row>
    <x:row r="60">
      <x:c r="A60" s="6" t="n">
        <x:v>46151</x:v>
      </x:c>
      <x:c r="B60" t="str">
        <x:v>TXN-000088</x:v>
      </x:c>
      <x:c r="C60" t="str">
        <x:v>VENMO PAYMENT TO FRIEND / DINNER</x:v>
      </x:c>
      <x:c r="D60" t="str">
        <x:v>Venmo</x:v>
      </x:c>
      <x:c r="E60" t="str">
        <x:v>Peer payments</x:v>
      </x:c>
      <x:c r="F60" t="str">
        <x:v>Expense</x:v>
      </x:c>
      <x:c r="G60" t="str">
        <x:v>ACH</x:v>
      </x:c>
      <x:c r="H60" t="str">
        <x:v>No</x:v>
      </x:c>
      <x:c r="I60" s="8" t="n">
        <x:v>-32</x:v>
      </x:c>
      <x:c r="J60" s="8" t="n">
        <x:v>1681.7</x:v>
      </x:c>
      <x:c r="K60" t="str">
        <x:v>2026-05</x:v>
      </x:c>
      <x:c r="L60" t="str"/>
    </x:row>
    <x:row r="61">
      <x:c r="A61" s="6" t="n">
        <x:v>46152</x:v>
      </x:c>
      <x:c r="B61" t="str">
        <x:v>TXN-000053</x:v>
      </x:c>
      <x:c r="C61" t="str">
        <x:v>PLANET FITNESS MEMBERSHIP</x:v>
      </x:c>
      <x:c r="D61" t="str">
        <x:v>Planet Fitness</x:v>
      </x:c>
      <x:c r="E61" t="str">
        <x:v>Fitness</x:v>
      </x:c>
      <x:c r="F61" t="str">
        <x:v>Expense</x:v>
      </x:c>
      <x:c r="G61" t="str">
        <x:v>Card on file</x:v>
      </x:c>
      <x:c r="H61" t="str">
        <x:v>Yes</x:v>
      </x:c>
      <x:c r="I61" s="8" t="n">
        <x:v>-24.99</x:v>
      </x:c>
      <x:c r="J61" s="8" t="n">
        <x:v>1656.71</x:v>
      </x:c>
      <x:c r="K61" t="str">
        <x:v>2026-05</x:v>
      </x:c>
      <x:c r="L61" t="str"/>
    </x:row>
    <x:row r="62">
      <x:c r="A62" s="6" t="n">
        <x:v>46152</x:v>
      </x:c>
      <x:c r="B62" t="str">
        <x:v>TXN-000066</x:v>
      </x:c>
      <x:c r="C62" t="str">
        <x:v>POS PURCHASE ALDI #7382</x:v>
      </x:c>
      <x:c r="D62" t="str">
        <x:v>Aldi</x:v>
      </x:c>
      <x:c r="E62" t="str">
        <x:v>Groceries</x:v>
      </x:c>
      <x:c r="F62" t="str">
        <x:v>Expense</x:v>
      </x:c>
      <x:c r="G62" t="str">
        <x:v>Debit card</x:v>
      </x:c>
      <x:c r="H62" t="str">
        <x:v>No</x:v>
      </x:c>
      <x:c r="I62" s="8" t="n">
        <x:v>-86.98</x:v>
      </x:c>
      <x:c r="J62" s="8" t="n">
        <x:v>1569.73</x:v>
      </x:c>
      <x:c r="K62" t="str">
        <x:v>2026-05</x:v>
      </x:c>
      <x:c r="L62" t="str"/>
    </x:row>
    <x:row r="63">
      <x:c r="A63" s="6" t="n">
        <x:v>46153</x:v>
      </x:c>
      <x:c r="B63" t="str">
        <x:v>TXN-000073</x:v>
      </x:c>
      <x:c r="C63" t="str">
        <x:v>PAY AT PUMP WAWA</x:v>
      </x:c>
      <x:c r="D63" t="str">
        <x:v>Wawa</x:v>
      </x:c>
      <x:c r="E63" t="str">
        <x:v>Gas &amp; fuel</x:v>
      </x:c>
      <x:c r="F63" t="str">
        <x:v>Expense</x:v>
      </x:c>
      <x:c r="G63" t="str">
        <x:v>Debit card</x:v>
      </x:c>
      <x:c r="H63" t="str">
        <x:v>No</x:v>
      </x:c>
      <x:c r="I63" s="8" t="n">
        <x:v>-34.25</x:v>
      </x:c>
      <x:c r="J63" s="8" t="n">
        <x:v>1535.48</x:v>
      </x:c>
      <x:c r="K63" t="str">
        <x:v>2026-05</x:v>
      </x:c>
      <x:c r="L63" t="str"/>
    </x:row>
    <x:row r="64">
      <x:c r="A64" s="6" t="n">
        <x:v>46154</x:v>
      </x:c>
      <x:c r="B64" t="str">
        <x:v>TXN-000054</x:v>
      </x:c>
      <x:c r="C64" t="str">
        <x:v>NETFLIX STANDARD</x:v>
      </x:c>
      <x:c r="D64" t="str">
        <x:v>Netflix</x:v>
      </x:c>
      <x:c r="E64" t="str">
        <x:v>Subscriptions</x:v>
      </x:c>
      <x:c r="F64" t="str">
        <x:v>Expense</x:v>
      </x:c>
      <x:c r="G64" t="str">
        <x:v>Card on file</x:v>
      </x:c>
      <x:c r="H64" t="str">
        <x:v>Yes</x:v>
      </x:c>
      <x:c r="I64" s="8" t="n">
        <x:v>-17.99</x:v>
      </x:c>
      <x:c r="J64" s="8" t="n">
        <x:v>1517.49</x:v>
      </x:c>
      <x:c r="K64" t="str">
        <x:v>2026-05</x:v>
      </x:c>
      <x:c r="L64" t="str"/>
    </x:row>
    <x:row r="65">
      <x:c r="A65" s="6" t="n">
        <x:v>46154</x:v>
      </x:c>
      <x:c r="B65" t="str">
        <x:v>TXN-000077</x:v>
      </x:c>
      <x:c r="C65" t="str">
        <x:v>POS PURCHASE CAVA</x:v>
      </x:c>
      <x:c r="D65" t="str">
        <x:v>Cava</x:v>
      </x:c>
      <x:c r="E65" t="str">
        <x:v>Dining out</x:v>
      </x:c>
      <x:c r="F65" t="str">
        <x:v>Expense</x:v>
      </x:c>
      <x:c r="G65" t="str">
        <x:v>Debit card</x:v>
      </x:c>
      <x:c r="H65" t="str">
        <x:v>No</x:v>
      </x:c>
      <x:c r="I65" s="8" t="n">
        <x:v>-26.01</x:v>
      </x:c>
      <x:c r="J65" s="8" t="n">
        <x:v>1491.48</x:v>
      </x:c>
      <x:c r="K65" t="str">
        <x:v>2026-05</x:v>
      </x:c>
      <x:c r="L65" t="str"/>
    </x:row>
    <x:row r="66">
      <x:c r="A66" s="6" t="n">
        <x:v>46155</x:v>
      </x:c>
      <x:c r="B66" t="str">
        <x:v>TXN-000085</x:v>
      </x:c>
      <x:c r="C66" t="str">
        <x:v>CARD PURCHASE BOWLING CENTER</x:v>
      </x:c>
      <x:c r="D66" t="str">
        <x:v>Bowling Center</x:v>
      </x:c>
      <x:c r="E66" t="str">
        <x:v>Entertainment</x:v>
      </x:c>
      <x:c r="F66" t="str">
        <x:v>Expense</x:v>
      </x:c>
      <x:c r="G66" t="str">
        <x:v>Debit card</x:v>
      </x:c>
      <x:c r="H66" t="str">
        <x:v>No</x:v>
      </x:c>
      <x:c r="I66" s="8" t="n">
        <x:v>-35.02</x:v>
      </x:c>
      <x:c r="J66" s="8" t="n">
        <x:v>1456.46</x:v>
      </x:c>
      <x:c r="K66" t="str">
        <x:v>2026-05</x:v>
      </x:c>
      <x:c r="L66" t="str"/>
    </x:row>
    <x:row r="67">
      <x:c r="A67" s="6" t="n">
        <x:v>46156</x:v>
      </x:c>
      <x:c r="B67" t="str">
        <x:v>TXN-000067</x:v>
      </x:c>
      <x:c r="C67" t="str">
        <x:v>POS PURCHASE TRADER JOE'S #1940</x:v>
      </x:c>
      <x:c r="D67" t="str">
        <x:v>Trader Joe's</x:v>
      </x:c>
      <x:c r="E67" t="str">
        <x:v>Groceries</x:v>
      </x:c>
      <x:c r="F67" t="str">
        <x:v>Expense</x:v>
      </x:c>
      <x:c r="G67" t="str">
        <x:v>Debit card</x:v>
      </x:c>
      <x:c r="H67" t="str">
        <x:v>No</x:v>
      </x:c>
      <x:c r="I67" s="8" t="n">
        <x:v>-77.42</x:v>
      </x:c>
      <x:c r="J67" s="8" t="n">
        <x:v>1379.04</x:v>
      </x:c>
      <x:c r="K67" t="str">
        <x:v>2026-05</x:v>
      </x:c>
      <x:c r="L67" t="str"/>
    </x:row>
    <x:row r="68">
      <x:c r="A68" s="6" t="n">
        <x:v>46157</x:v>
      </x:c>
      <x:c r="B68" t="str">
        <x:v>TXN-000060</x:v>
      </x:c>
      <x:c r="C68" t="str">
        <x:v>PAYROLL DIRECT DEP / BRIGHTWAVE SYSTEMS</x:v>
      </x:c>
      <x:c r="D68" t="str">
        <x:v>BrightWave Systems</x:v>
      </x:c>
      <x:c r="E68" t="str">
        <x:v>Paycheck</x:v>
      </x:c>
      <x:c r="F68" t="str">
        <x:v>Income</x:v>
      </x:c>
      <x:c r="G68" t="str">
        <x:v>Direct deposit</x:v>
      </x:c>
      <x:c r="H68" t="str">
        <x:v>Yes</x:v>
      </x:c>
      <x:c r="I68" s="8" t="n">
        <x:v>2502.9</x:v>
      </x:c>
      <x:c r="J68" s="8" t="n">
        <x:v>3881.94</x:v>
      </x:c>
      <x:c r="K68" t="str">
        <x:v>2026-05</x:v>
      </x:c>
      <x:c r="L68" t="str">
        <x:v>Net payroll; gross and withholdings in Profile</x:v>
      </x:c>
    </x:row>
    <x:row r="69">
      <x:c r="A69" s="6" t="n">
        <x:v>46157</x:v>
      </x:c>
      <x:c r="B69" t="str">
        <x:v>TXN-000061</x:v>
      </x:c>
      <x:c r="C69" t="str">
        <x:v>ONLINE TRANSFER TO SAVINGS ****7721</x:v>
      </x:c>
      <x:c r="D69" t="str">
        <x:v>Internal savings transfer</x:v>
      </x:c>
      <x:c r="E69" t="str">
        <x:v>Savings transfer</x:v>
      </x:c>
      <x:c r="F69" t="str">
        <x:v>Transfer</x:v>
      </x:c>
      <x:c r="G69" t="str">
        <x:v>Internal transfer</x:v>
      </x:c>
      <x:c r="H69" t="str">
        <x:v>Yes</x:v>
      </x:c>
      <x:c r="I69" s="8" t="n">
        <x:v>-350</x:v>
      </x:c>
      <x:c r="J69" s="8" t="n">
        <x:v>3531.94</x:v>
      </x:c>
      <x:c r="K69" t="str">
        <x:v>2026-05</x:v>
      </x:c>
      <x:c r="L69" t="str"/>
    </x:row>
    <x:row r="70">
      <x:c r="A70" s="6" t="n">
        <x:v>46158</x:v>
      </x:c>
      <x:c r="B70" t="str">
        <x:v>TXN-000055</x:v>
      </x:c>
      <x:c r="C70" t="str">
        <x:v>TOYOTA FINANCIAL LOAN PAYMENT</x:v>
      </x:c>
      <x:c r="D70" t="str">
        <x:v>Toyota Financial</x:v>
      </x:c>
      <x:c r="E70" t="str">
        <x:v>Auto loan</x:v>
      </x:c>
      <x:c r="F70" t="str">
        <x:v>Expense</x:v>
      </x:c>
      <x:c r="G70" t="str">
        <x:v>ACH</x:v>
      </x:c>
      <x:c r="H70" t="str">
        <x:v>Yes</x:v>
      </x:c>
      <x:c r="I70" s="8" t="n">
        <x:v>-318.75</x:v>
      </x:c>
      <x:c r="J70" s="8" t="n">
        <x:v>3213.19</x:v>
      </x:c>
      <x:c r="K70" t="str">
        <x:v>2026-05</x:v>
      </x:c>
      <x:c r="L70" t="str"/>
    </x:row>
    <x:row r="71">
      <x:c r="A71" s="6" t="n">
        <x:v>46160</x:v>
      </x:c>
      <x:c r="B71" t="str">
        <x:v>TXN-000068</x:v>
      </x:c>
      <x:c r="C71" t="str">
        <x:v>POS PURCHASE WALMART SUPERCENTER #5580</x:v>
      </x:c>
      <x:c r="D71" t="str">
        <x:v>Walmart Supercenter</x:v>
      </x:c>
      <x:c r="E71" t="str">
        <x:v>Groceries</x:v>
      </x:c>
      <x:c r="F71" t="str">
        <x:v>Expense</x:v>
      </x:c>
      <x:c r="G71" t="str">
        <x:v>Debit card</x:v>
      </x:c>
      <x:c r="H71" t="str">
        <x:v>No</x:v>
      </x:c>
      <x:c r="I71" s="8" t="n">
        <x:v>-97.37</x:v>
      </x:c>
      <x:c r="J71" s="8" t="n">
        <x:v>3115.82</x:v>
      </x:c>
      <x:c r="K71" t="str">
        <x:v>2026-05</x:v>
      </x:c>
      <x:c r="L71" t="str"/>
    </x:row>
    <x:row r="72">
      <x:c r="A72" s="6" t="n">
        <x:v>46160</x:v>
      </x:c>
      <x:c r="B72" t="str">
        <x:v>TXN-000078</x:v>
      </x:c>
      <x:c r="C72" t="str">
        <x:v>POS PURCHASE PANERA BREAD</x:v>
      </x:c>
      <x:c r="D72" t="str">
        <x:v>Panera Bread</x:v>
      </x:c>
      <x:c r="E72" t="str">
        <x:v>Dining out</x:v>
      </x:c>
      <x:c r="F72" t="str">
        <x:v>Expense</x:v>
      </x:c>
      <x:c r="G72" t="str">
        <x:v>Debit card</x:v>
      </x:c>
      <x:c r="H72" t="str">
        <x:v>No</x:v>
      </x:c>
      <x:c r="I72" s="8" t="n">
        <x:v>-12.23</x:v>
      </x:c>
      <x:c r="J72" s="8" t="n">
        <x:v>3103.59</x:v>
      </x:c>
      <x:c r="K72" t="str">
        <x:v>2026-05</x:v>
      </x:c>
      <x:c r="L72" t="str"/>
    </x:row>
    <x:row r="73">
      <x:c r="A73" s="6" t="n">
        <x:v>46161</x:v>
      </x:c>
      <x:c r="B73" t="str">
        <x:v>TXN-000056</x:v>
      </x:c>
      <x:c r="C73" t="str">
        <x:v>APPLE ICLOUD STORAGE</x:v>
      </x:c>
      <x:c r="D73" t="str">
        <x:v>Apple</x:v>
      </x:c>
      <x:c r="E73" t="str">
        <x:v>Subscriptions</x:v>
      </x:c>
      <x:c r="F73" t="str">
        <x:v>Expense</x:v>
      </x:c>
      <x:c r="G73" t="str">
        <x:v>Card on file</x:v>
      </x:c>
      <x:c r="H73" t="str">
        <x:v>Yes</x:v>
      </x:c>
      <x:c r="I73" s="8" t="n">
        <x:v>-2.99</x:v>
      </x:c>
      <x:c r="J73" s="8" t="n">
        <x:v>3100.6</x:v>
      </x:c>
      <x:c r="K73" t="str">
        <x:v>2026-05</x:v>
      </x:c>
      <x:c r="L73" t="str"/>
    </x:row>
    <x:row r="74">
      <x:c r="A74" s="6" t="n">
        <x:v>46161</x:v>
      </x:c>
      <x:c r="B74" t="str">
        <x:v>TXN-000074</x:v>
      </x:c>
      <x:c r="C74" t="str">
        <x:v>PAY AT PUMP WAWA</x:v>
      </x:c>
      <x:c r="D74" t="str">
        <x:v>Wawa</x:v>
      </x:c>
      <x:c r="E74" t="str">
        <x:v>Gas &amp; fuel</x:v>
      </x:c>
      <x:c r="F74" t="str">
        <x:v>Expense</x:v>
      </x:c>
      <x:c r="G74" t="str">
        <x:v>Debit card</x:v>
      </x:c>
      <x:c r="H74" t="str">
        <x:v>No</x:v>
      </x:c>
      <x:c r="I74" s="8" t="n">
        <x:v>-48.57</x:v>
      </x:c>
      <x:c r="J74" s="8" t="n">
        <x:v>3052.03</x:v>
      </x:c>
      <x:c r="K74" t="str">
        <x:v>2026-05</x:v>
      </x:c>
      <x:c r="L74" t="str"/>
    </x:row>
    <x:row r="75">
      <x:c r="A75" s="6" t="n">
        <x:v>46162</x:v>
      </x:c>
      <x:c r="B75" t="str">
        <x:v>TXN-000057</x:v>
      </x:c>
      <x:c r="C75" t="str">
        <x:v>STATE FARM RENTERS INSURANCE</x:v>
      </x:c>
      <x:c r="D75" t="str">
        <x:v>State Farm</x:v>
      </x:c>
      <x:c r="E75" t="str">
        <x:v>Insurance</x:v>
      </x:c>
      <x:c r="F75" t="str">
        <x:v>Expense</x:v>
      </x:c>
      <x:c r="G75" t="str">
        <x:v>ACH</x:v>
      </x:c>
      <x:c r="H75" t="str">
        <x:v>Yes</x:v>
      </x:c>
      <x:c r="I75" s="8" t="n">
        <x:v>-18.25</x:v>
      </x:c>
      <x:c r="J75" s="8" t="n">
        <x:v>3033.78</x:v>
      </x:c>
      <x:c r="K75" t="str">
        <x:v>2026-05</x:v>
      </x:c>
      <x:c r="L75" t="str"/>
    </x:row>
    <x:row r="76">
      <x:c r="A76" s="6" t="n">
        <x:v>46162</x:v>
      </x:c>
      <x:c r="B76" t="str">
        <x:v>TXN-000087</x:v>
      </x:c>
      <x:c r="C76" t="str">
        <x:v>CVS PHARMACY PURCHASE</x:v>
      </x:c>
      <x:c r="D76" t="str">
        <x:v>CVS</x:v>
      </x:c>
      <x:c r="E76" t="str">
        <x:v>Health &amp; pharmacy</x:v>
      </x:c>
      <x:c r="F76" t="str">
        <x:v>Expense</x:v>
      </x:c>
      <x:c r="G76" t="str">
        <x:v>Debit card</x:v>
      </x:c>
      <x:c r="H76" t="str">
        <x:v>No</x:v>
      </x:c>
      <x:c r="I76" s="8" t="n">
        <x:v>-8.67</x:v>
      </x:c>
      <x:c r="J76" s="8" t="n">
        <x:v>3025.11</x:v>
      </x:c>
      <x:c r="K76" t="str">
        <x:v>2026-05</x:v>
      </x:c>
      <x:c r="L76" t="str"/>
    </x:row>
    <x:row r="77">
      <x:c r="A77" s="6" t="n">
        <x:v>46162</x:v>
      </x:c>
      <x:c r="B77" t="str">
        <x:v>TXN-000089</x:v>
      </x:c>
      <x:c r="C77" t="str">
        <x:v>REI OUTDOOR EQUIPMENT</x:v>
      </x:c>
      <x:c r="D77" t="str">
        <x:v>REI</x:v>
      </x:c>
      <x:c r="E77" t="str">
        <x:v>Shopping</x:v>
      </x:c>
      <x:c r="F77" t="str">
        <x:v>Expense</x:v>
      </x:c>
      <x:c r="G77" t="str">
        <x:v>Debit card</x:v>
      </x:c>
      <x:c r="H77" t="str">
        <x:v>No</x:v>
      </x:c>
      <x:c r="I77" s="8" t="n">
        <x:v>-118.4</x:v>
      </x:c>
      <x:c r="J77" s="8" t="n">
        <x:v>2906.71</x:v>
      </x:c>
      <x:c r="K77" t="str">
        <x:v>2026-05</x:v>
      </x:c>
      <x:c r="L77" t="str"/>
    </x:row>
    <x:row r="78">
      <x:c r="A78" s="6" t="n">
        <x:v>46163</x:v>
      </x:c>
      <x:c r="B78" t="str">
        <x:v>TXN-000058</x:v>
      </x:c>
      <x:c r="C78" t="str">
        <x:v>PAYMENT STUDENT LOAN SERVICER</x:v>
      </x:c>
      <x:c r="D78" t="str">
        <x:v>Federal Student Aid Servicer</x:v>
      </x:c>
      <x:c r="E78" t="str">
        <x:v>Student loans</x:v>
      </x:c>
      <x:c r="F78" t="str">
        <x:v>Expense</x:v>
      </x:c>
      <x:c r="G78" t="str">
        <x:v>ACH</x:v>
      </x:c>
      <x:c r="H78" t="str">
        <x:v>Yes</x:v>
      </x:c>
      <x:c r="I78" s="8" t="n">
        <x:v>-185</x:v>
      </x:c>
      <x:c r="J78" s="8" t="n">
        <x:v>2721.71</x:v>
      </x:c>
      <x:c r="K78" t="str">
        <x:v>2026-05</x:v>
      </x:c>
      <x:c r="L78" t="str"/>
    </x:row>
    <x:row r="79">
      <x:c r="A79" s="6" t="n">
        <x:v>46164</x:v>
      </x:c>
      <x:c r="B79" t="str">
        <x:v>TXN-000069</x:v>
      </x:c>
      <x:c r="C79" t="str">
        <x:v>POS PURCHASE GIANT FOOD #7130</x:v>
      </x:c>
      <x:c r="D79" t="str">
        <x:v>Giant Food</x:v>
      </x:c>
      <x:c r="E79" t="str">
        <x:v>Groceries</x:v>
      </x:c>
      <x:c r="F79" t="str">
        <x:v>Expense</x:v>
      </x:c>
      <x:c r="G79" t="str">
        <x:v>Debit card</x:v>
      </x:c>
      <x:c r="H79" t="str">
        <x:v>No</x:v>
      </x:c>
      <x:c r="I79" s="8" t="n">
        <x:v>-47.62</x:v>
      </x:c>
      <x:c r="J79" s="8" t="n">
        <x:v>2674.09</x:v>
      </x:c>
      <x:c r="K79" t="str">
        <x:v>2026-05</x:v>
      </x:c>
      <x:c r="L79" t="str"/>
    </x:row>
    <x:row r="80">
      <x:c r="A80" s="6" t="n">
        <x:v>46164</x:v>
      </x:c>
      <x:c r="B80" t="str">
        <x:v>TXN-000082</x:v>
      </x:c>
      <x:c r="C80" t="str">
        <x:v>PARKING / PUBLIC TRANSIT</x:v>
      </x:c>
      <x:c r="D80" t="str">
        <x:v>Local Transit</x:v>
      </x:c>
      <x:c r="E80" t="str">
        <x:v>Transportation</x:v>
      </x:c>
      <x:c r="F80" t="str">
        <x:v>Expense</x:v>
      </x:c>
      <x:c r="G80" t="str">
        <x:v>Debit card</x:v>
      </x:c>
      <x:c r="H80" t="str">
        <x:v>No</x:v>
      </x:c>
      <x:c r="I80" s="8" t="n">
        <x:v>-19.43</x:v>
      </x:c>
      <x:c r="J80" s="8" t="n">
        <x:v>2654.66</x:v>
      </x:c>
      <x:c r="K80" t="str">
        <x:v>2026-05</x:v>
      </x:c>
      <x:c r="L80" t="str"/>
    </x:row>
    <x:row r="81">
      <x:c r="A81" s="6" t="n">
        <x:v>46165</x:v>
      </x:c>
      <x:c r="B81" t="str">
        <x:v>TXN-000079</x:v>
      </x:c>
      <x:c r="C81" t="str">
        <x:v>POS PURCHASE PANERA BREAD</x:v>
      </x:c>
      <x:c r="D81" t="str">
        <x:v>Panera Bread</x:v>
      </x:c>
      <x:c r="E81" t="str">
        <x:v>Dining out</x:v>
      </x:c>
      <x:c r="F81" t="str">
        <x:v>Expense</x:v>
      </x:c>
      <x:c r="G81" t="str">
        <x:v>Debit card</x:v>
      </x:c>
      <x:c r="H81" t="str">
        <x:v>No</x:v>
      </x:c>
      <x:c r="I81" s="8" t="n">
        <x:v>-20.83</x:v>
      </x:c>
      <x:c r="J81" s="8" t="n">
        <x:v>2633.83</x:v>
      </x:c>
      <x:c r="K81" t="str">
        <x:v>2026-05</x:v>
      </x:c>
      <x:c r="L81" t="str"/>
    </x:row>
    <x:row r="82">
      <x:c r="A82" s="6" t="n">
        <x:v>46166</x:v>
      </x:c>
      <x:c r="B82" t="str">
        <x:v>TXN-000084</x:v>
      </x:c>
      <x:c r="C82" t="str">
        <x:v>ONLINE PURCHASE TARGET</x:v>
      </x:c>
      <x:c r="D82" t="str">
        <x:v>Target</x:v>
      </x:c>
      <x:c r="E82" t="str">
        <x:v>Shopping</x:v>
      </x:c>
      <x:c r="F82" t="str">
        <x:v>Expense</x:v>
      </x:c>
      <x:c r="G82" t="str">
        <x:v>Card on file</x:v>
      </x:c>
      <x:c r="H82" t="str">
        <x:v>No</x:v>
      </x:c>
      <x:c r="I82" s="8" t="n">
        <x:v>-66.88</x:v>
      </x:c>
      <x:c r="J82" s="8" t="n">
        <x:v>2566.95</x:v>
      </x:c>
      <x:c r="K82" t="str">
        <x:v>2026-05</x:v>
      </x:c>
      <x:c r="L82" t="str"/>
    </x:row>
    <x:row r="83">
      <x:c r="A83" s="6" t="n">
        <x:v>46167</x:v>
      </x:c>
      <x:c r="B83" t="str">
        <x:v>TXN-000059</x:v>
      </x:c>
      <x:c r="C83" t="str">
        <x:v>AMAZON PRIME MEMBERSHIP</x:v>
      </x:c>
      <x:c r="D83" t="str">
        <x:v>Amazon</x:v>
      </x:c>
      <x:c r="E83" t="str">
        <x:v>Subscriptions</x:v>
      </x:c>
      <x:c r="F83" t="str">
        <x:v>Expense</x:v>
      </x:c>
      <x:c r="G83" t="str">
        <x:v>Card on file</x:v>
      </x:c>
      <x:c r="H83" t="str">
        <x:v>Yes</x:v>
      </x:c>
      <x:c r="I83" s="8" t="n">
        <x:v>-14.99</x:v>
      </x:c>
      <x:c r="J83" s="8" t="n">
        <x:v>2551.96</x:v>
      </x:c>
      <x:c r="K83" t="str">
        <x:v>2026-05</x:v>
      </x:c>
      <x:c r="L83" t="str"/>
    </x:row>
    <x:row r="84">
      <x:c r="A84" s="6" t="n">
        <x:v>46168</x:v>
      </x:c>
      <x:c r="B84" t="str">
        <x:v>TXN-000070</x:v>
      </x:c>
      <x:c r="C84" t="str">
        <x:v>POS PURCHASE TRADER JOE'S #7767</x:v>
      </x:c>
      <x:c r="D84" t="str">
        <x:v>Trader Joe's</x:v>
      </x:c>
      <x:c r="E84" t="str">
        <x:v>Groceries</x:v>
      </x:c>
      <x:c r="F84" t="str">
        <x:v>Expense</x:v>
      </x:c>
      <x:c r="G84" t="str">
        <x:v>Debit card</x:v>
      </x:c>
      <x:c r="H84" t="str">
        <x:v>No</x:v>
      </x:c>
      <x:c r="I84" s="8" t="n">
        <x:v>-27.72</x:v>
      </x:c>
      <x:c r="J84" s="8" t="n">
        <x:v>2524.24</x:v>
      </x:c>
      <x:c r="K84" t="str">
        <x:v>2026-05</x:v>
      </x:c>
      <x:c r="L84" t="str"/>
    </x:row>
    <x:row r="85">
      <x:c r="A85" s="6" t="n">
        <x:v>46169</x:v>
      </x:c>
      <x:c r="B85" t="str">
        <x:v>TXN-000075</x:v>
      </x:c>
      <x:c r="C85" t="str">
        <x:v>PAY AT PUMP SHEETZ</x:v>
      </x:c>
      <x:c r="D85" t="str">
        <x:v>Sheetz</x:v>
      </x:c>
      <x:c r="E85" t="str">
        <x:v>Gas &amp; fuel</x:v>
      </x:c>
      <x:c r="F85" t="str">
        <x:v>Expense</x:v>
      </x:c>
      <x:c r="G85" t="str">
        <x:v>Debit card</x:v>
      </x:c>
      <x:c r="H85" t="str">
        <x:v>No</x:v>
      </x:c>
      <x:c r="I85" s="8" t="n">
        <x:v>-28.41</x:v>
      </x:c>
      <x:c r="J85" s="8" t="n">
        <x:v>2495.83</x:v>
      </x:c>
      <x:c r="K85" t="str">
        <x:v>2026-05</x:v>
      </x:c>
      <x:c r="L85" t="str"/>
    </x:row>
    <x:row r="86">
      <x:c r="A86" s="6" t="n">
        <x:v>46169</x:v>
      </x:c>
      <x:c r="B86" t="str">
        <x:v>TXN-000086</x:v>
      </x:c>
      <x:c r="C86" t="str">
        <x:v>CARD PURCHASE STEAM GAMES</x:v>
      </x:c>
      <x:c r="D86" t="str">
        <x:v>Steam Games</x:v>
      </x:c>
      <x:c r="E86" t="str">
        <x:v>Entertainment</x:v>
      </x:c>
      <x:c r="F86" t="str">
        <x:v>Expense</x:v>
      </x:c>
      <x:c r="G86" t="str">
        <x:v>Debit card</x:v>
      </x:c>
      <x:c r="H86" t="str">
        <x:v>No</x:v>
      </x:c>
      <x:c r="I86" s="8" t="n">
        <x:v>-38.88</x:v>
      </x:c>
      <x:c r="J86" s="8" t="n">
        <x:v>2456.95</x:v>
      </x:c>
      <x:c r="K86" t="str">
        <x:v>2026-05</x:v>
      </x:c>
      <x:c r="L86" t="str"/>
    </x:row>
    <x:row r="87">
      <x:c r="A87" s="6" t="n">
        <x:v>46170</x:v>
      </x:c>
      <x:c r="B87" t="str">
        <x:v>TXN-000080</x:v>
      </x:c>
      <x:c r="C87" t="str">
        <x:v>POS PURCHASE CAVA</x:v>
      </x:c>
      <x:c r="D87" t="str">
        <x:v>Cava</x:v>
      </x:c>
      <x:c r="E87" t="str">
        <x:v>Dining out</x:v>
      </x:c>
      <x:c r="F87" t="str">
        <x:v>Expense</x:v>
      </x:c>
      <x:c r="G87" t="str">
        <x:v>Debit card</x:v>
      </x:c>
      <x:c r="H87" t="str">
        <x:v>No</x:v>
      </x:c>
      <x:c r="I87" s="8" t="n">
        <x:v>-20.56</x:v>
      </x:c>
      <x:c r="J87" s="8" t="n">
        <x:v>2436.39</x:v>
      </x:c>
      <x:c r="K87" t="str">
        <x:v>2026-05</x:v>
      </x:c>
      <x:c r="L87" t="str"/>
    </x:row>
    <x:row r="88">
      <x:c r="A88" s="6" t="n">
        <x:v>46171</x:v>
      </x:c>
      <x:c r="B88" t="str">
        <x:v>TXN-000071</x:v>
      </x:c>
      <x:c r="C88" t="str">
        <x:v>POS PURCHASE GIANT FOOD #7217</x:v>
      </x:c>
      <x:c r="D88" t="str">
        <x:v>Giant Food</x:v>
      </x:c>
      <x:c r="E88" t="str">
        <x:v>Groceries</x:v>
      </x:c>
      <x:c r="F88" t="str">
        <x:v>Expense</x:v>
      </x:c>
      <x:c r="G88" t="str">
        <x:v>Debit card</x:v>
      </x:c>
      <x:c r="H88" t="str">
        <x:v>No</x:v>
      </x:c>
      <x:c r="I88" s="8" t="n">
        <x:v>-51.39</x:v>
      </x:c>
      <x:c r="J88" s="8" t="n">
        <x:v>2385</x:v>
      </x:c>
      <x:c r="K88" t="str">
        <x:v>2026-05</x:v>
      </x:c>
      <x:c r="L88" t="str"/>
    </x:row>
    <x:row r="89">
      <x:c r="A89" s="6" t="n">
        <x:v>46173</x:v>
      </x:c>
      <x:c r="B89" t="str">
        <x:v>TXN-000062</x:v>
      </x:c>
      <x:c r="C89" t="str">
        <x:v>PAYROLL DIRECT DEP / BRIGHTWAVE SYSTEMS</x:v>
      </x:c>
      <x:c r="D89" t="str">
        <x:v>BrightWave Systems</x:v>
      </x:c>
      <x:c r="E89" t="str">
        <x:v>Paycheck</x:v>
      </x:c>
      <x:c r="F89" t="str">
        <x:v>Income</x:v>
      </x:c>
      <x:c r="G89" t="str">
        <x:v>Direct deposit</x:v>
      </x:c>
      <x:c r="H89" t="str">
        <x:v>Yes</x:v>
      </x:c>
      <x:c r="I89" s="8" t="n">
        <x:v>2490.26</x:v>
      </x:c>
      <x:c r="J89" s="8" t="n">
        <x:v>4875.26</x:v>
      </x:c>
      <x:c r="K89" t="str">
        <x:v>2026-05</x:v>
      </x:c>
      <x:c r="L89" t="str">
        <x:v>Net payroll; gross and withholdings in Profile</x:v>
      </x:c>
    </x:row>
    <x:row r="90">
      <x:c r="A90" s="6" t="n">
        <x:v>46173</x:v>
      </x:c>
      <x:c r="B90" t="str">
        <x:v>TXN-000063</x:v>
      </x:c>
      <x:c r="C90" t="str">
        <x:v>ONLINE TRANSFER TO SAVINGS ****7721</x:v>
      </x:c>
      <x:c r="D90" t="str">
        <x:v>Internal savings transfer</x:v>
      </x:c>
      <x:c r="E90" t="str">
        <x:v>Savings transfer</x:v>
      </x:c>
      <x:c r="F90" t="str">
        <x:v>Transfer</x:v>
      </x:c>
      <x:c r="G90" t="str">
        <x:v>Internal transfer</x:v>
      </x:c>
      <x:c r="H90" t="str">
        <x:v>Yes</x:v>
      </x:c>
      <x:c r="I90" s="8" t="n">
        <x:v>-300</x:v>
      </x:c>
      <x:c r="J90" s="8" t="n">
        <x:v>4575.26</x:v>
      </x:c>
      <x:c r="K90" t="str">
        <x:v>2026-05</x:v>
      </x:c>
      <x:c r="L90" t="str"/>
    </x:row>
    <x:row r="91">
      <x:c r="A91" s="6" t="n">
        <x:v>46174</x:v>
      </x:c>
      <x:c r="B91" t="str">
        <x:v>TXN-000090</x:v>
      </x:c>
      <x:c r="C91" t="str">
        <x:v>RENT PMT GREENWOOD APARTMENTS</x:v>
      </x:c>
      <x:c r="D91" t="str">
        <x:v>Greenwood Apartments</x:v>
      </x:c>
      <x:c r="E91" t="str">
        <x:v>Housing</x:v>
      </x:c>
      <x:c r="F91" t="str">
        <x:v>Expense</x:v>
      </x:c>
      <x:c r="G91" t="str">
        <x:v>ACH</x:v>
      </x:c>
      <x:c r="H91" t="str">
        <x:v>Yes</x:v>
      </x:c>
      <x:c r="I91" s="8" t="n">
        <x:v>-1475</x:v>
      </x:c>
      <x:c r="J91" s="8" t="n">
        <x:v>3100.26</x:v>
      </x:c>
      <x:c r="K91" t="str">
        <x:v>2026-06</x:v>
      </x:c>
      <x:c r="L91" t="str"/>
    </x:row>
    <x:row r="92">
      <x:c r="A92" s="6" t="n">
        <x:v>46175</x:v>
      </x:c>
      <x:c r="B92" t="str">
        <x:v>TXN-000091</x:v>
      </x:c>
      <x:c r="C92" t="str">
        <x:v>PECO ENERGY AUTOPAY</x:v>
      </x:c>
      <x:c r="D92" t="str">
        <x:v>PECO Energy</x:v>
      </x:c>
      <x:c r="E92" t="str">
        <x:v>Utilities</x:v>
      </x:c>
      <x:c r="F92" t="str">
        <x:v>Expense</x:v>
      </x:c>
      <x:c r="G92" t="str">
        <x:v>ACH</x:v>
      </x:c>
      <x:c r="H92" t="str">
        <x:v>Yes</x:v>
      </x:c>
      <x:c r="I92" s="8" t="n">
        <x:v>-106.02</x:v>
      </x:c>
      <x:c r="J92" s="8" t="n">
        <x:v>2994.24</x:v>
      </x:c>
      <x:c r="K92" t="str">
        <x:v>2026-06</x:v>
      </x:c>
      <x:c r="L92" t="str"/>
    </x:row>
    <x:row r="93">
      <x:c r="A93" s="6" t="n">
        <x:v>46175</x:v>
      </x:c>
      <x:c r="B93" t="str">
        <x:v>TXN-000108</x:v>
      </x:c>
      <x:c r="C93" t="str">
        <x:v>POS PURCHASE WALMART SUPERCENTER #3143</x:v>
      </x:c>
      <x:c r="D93" t="str">
        <x:v>Walmart Supercenter</x:v>
      </x:c>
      <x:c r="E93" t="str">
        <x:v>Groceries</x:v>
      </x:c>
      <x:c r="F93" t="str">
        <x:v>Expense</x:v>
      </x:c>
      <x:c r="G93" t="str">
        <x:v>Debit card</x:v>
      </x:c>
      <x:c r="H93" t="str">
        <x:v>No</x:v>
      </x:c>
      <x:c r="I93" s="8" t="n">
        <x:v>-35.9</x:v>
      </x:c>
      <x:c r="J93" s="8" t="n">
        <x:v>2958.34</x:v>
      </x:c>
      <x:c r="K93" t="str">
        <x:v>2026-06</x:v>
      </x:c>
      <x:c r="L93" t="str"/>
    </x:row>
    <x:row r="94">
      <x:c r="A94" s="6" t="n">
        <x:v>46176</x:v>
      </x:c>
      <x:c r="B94" t="str">
        <x:v>TXN-000092</x:v>
      </x:c>
      <x:c r="C94" t="str">
        <x:v>COMCAST INTERNET AUTOPAY</x:v>
      </x:c>
      <x:c r="D94" t="str">
        <x:v>Xfinity</x:v>
      </x:c>
      <x:c r="E94" t="str">
        <x:v>Internet</x:v>
      </x:c>
      <x:c r="F94" t="str">
        <x:v>Expense</x:v>
      </x:c>
      <x:c r="G94" t="str">
        <x:v>ACH</x:v>
      </x:c>
      <x:c r="H94" t="str">
        <x:v>Yes</x:v>
      </x:c>
      <x:c r="I94" s="8" t="n">
        <x:v>-65</x:v>
      </x:c>
      <x:c r="J94" s="8" t="n">
        <x:v>2893.34</x:v>
      </x:c>
      <x:c r="K94" t="str">
        <x:v>2026-06</x:v>
      </x:c>
      <x:c r="L94" t="str"/>
    </x:row>
    <x:row r="95">
      <x:c r="A95" s="6" t="n">
        <x:v>46176</x:v>
      </x:c>
      <x:c r="B95" t="str">
        <x:v>TXN-000116</x:v>
      </x:c>
      <x:c r="C95" t="str">
        <x:v>PAY AT PUMP SUNOCO</x:v>
      </x:c>
      <x:c r="D95" t="str">
        <x:v>Sunoco</x:v>
      </x:c>
      <x:c r="E95" t="str">
        <x:v>Gas &amp; fuel</x:v>
      </x:c>
      <x:c r="F95" t="str">
        <x:v>Expense</x:v>
      </x:c>
      <x:c r="G95" t="str">
        <x:v>Debit card</x:v>
      </x:c>
      <x:c r="H95" t="str">
        <x:v>No</x:v>
      </x:c>
      <x:c r="I95" s="8" t="n">
        <x:v>-30.29</x:v>
      </x:c>
      <x:c r="J95" s="8" t="n">
        <x:v>2863.05</x:v>
      </x:c>
      <x:c r="K95" t="str">
        <x:v>2026-06</x:v>
      </x:c>
      <x:c r="L95" t="str"/>
    </x:row>
    <x:row r="96">
      <x:c r="A96" s="6" t="n">
        <x:v>46177</x:v>
      </x:c>
      <x:c r="B96" t="str">
        <x:v>TXN-000093</x:v>
      </x:c>
      <x:c r="C96" t="str">
        <x:v>SPOTIFY PREMIUM</x:v>
      </x:c>
      <x:c r="D96" t="str">
        <x:v>Spotify</x:v>
      </x:c>
      <x:c r="E96" t="str">
        <x:v>Subscriptions</x:v>
      </x:c>
      <x:c r="F96" t="str">
        <x:v>Expense</x:v>
      </x:c>
      <x:c r="G96" t="str">
        <x:v>Card on file</x:v>
      </x:c>
      <x:c r="H96" t="str">
        <x:v>Yes</x:v>
      </x:c>
      <x:c r="I96" s="8" t="n">
        <x:v>-11.99</x:v>
      </x:c>
      <x:c r="J96" s="8" t="n">
        <x:v>2851.06</x:v>
      </x:c>
      <x:c r="K96" t="str">
        <x:v>2026-06</x:v>
      </x:c>
      <x:c r="L96" t="str"/>
    </x:row>
    <x:row r="97">
      <x:c r="A97" s="6" t="n">
        <x:v>46178</x:v>
      </x:c>
      <x:c r="B97" t="str">
        <x:v>TXN-000094</x:v>
      </x:c>
      <x:c r="C97" t="str">
        <x:v>VERIZON WIRELESS</x:v>
      </x:c>
      <x:c r="D97" t="str">
        <x:v>Verizon</x:v>
      </x:c>
      <x:c r="E97" t="str">
        <x:v>Phone</x:v>
      </x:c>
      <x:c r="F97" t="str">
        <x:v>Expense</x:v>
      </x:c>
      <x:c r="G97" t="str">
        <x:v>ACH</x:v>
      </x:c>
      <x:c r="H97" t="str">
        <x:v>Yes</x:v>
      </x:c>
      <x:c r="I97" s="8" t="n">
        <x:v>-62</x:v>
      </x:c>
      <x:c r="J97" s="8" t="n">
        <x:v>2789.06</x:v>
      </x:c>
      <x:c r="K97" t="str">
        <x:v>2026-06</x:v>
      </x:c>
      <x:c r="L97" t="str"/>
    </x:row>
    <x:row r="98">
      <x:c r="A98" s="6" t="n">
        <x:v>46178</x:v>
      </x:c>
      <x:c r="B98" t="str">
        <x:v>TXN-000120</x:v>
      </x:c>
      <x:c r="C98" t="str">
        <x:v>POS PURCHASE TACO BELL</x:v>
      </x:c>
      <x:c r="D98" t="str">
        <x:v>Taco Bell</x:v>
      </x:c>
      <x:c r="E98" t="str">
        <x:v>Dining out</x:v>
      </x:c>
      <x:c r="F98" t="str">
        <x:v>Expense</x:v>
      </x:c>
      <x:c r="G98" t="str">
        <x:v>Debit card</x:v>
      </x:c>
      <x:c r="H98" t="str">
        <x:v>No</x:v>
      </x:c>
      <x:c r="I98" s="8" t="n">
        <x:v>-8.84</x:v>
      </x:c>
      <x:c r="J98" s="8" t="n">
        <x:v>2780.22</x:v>
      </x:c>
      <x:c r="K98" t="str">
        <x:v>2026-06</x:v>
      </x:c>
      <x:c r="L98" t="str"/>
    </x:row>
    <x:row r="99">
      <x:c r="A99" s="6" t="n">
        <x:v>46178</x:v>
      </x:c>
      <x:c r="B99" t="str">
        <x:v>TXN-000132</x:v>
      </x:c>
      <x:c r="C99" t="str">
        <x:v>DENTAL COPAY</x:v>
      </x:c>
      <x:c r="D99" t="str">
        <x:v>Dental Office</x:v>
      </x:c>
      <x:c r="E99" t="str">
        <x:v>Medical</x:v>
      </x:c>
      <x:c r="F99" t="str">
        <x:v>Expense</x:v>
      </x:c>
      <x:c r="G99" t="str">
        <x:v>Debit card</x:v>
      </x:c>
      <x:c r="H99" t="str">
        <x:v>No</x:v>
      </x:c>
      <x:c r="I99" s="8" t="n">
        <x:v>-45</x:v>
      </x:c>
      <x:c r="J99" s="8" t="n">
        <x:v>2735.22</x:v>
      </x:c>
      <x:c r="K99" t="str">
        <x:v>2026-06</x:v>
      </x:c>
      <x:c r="L99" t="str"/>
    </x:row>
    <x:row r="100">
      <x:c r="A100" s="6" t="n">
        <x:v>46179</x:v>
      </x:c>
      <x:c r="B100" t="str">
        <x:v>TXN-000109</x:v>
      </x:c>
      <x:c r="C100" t="str">
        <x:v>POS PURCHASE TARGET #9157</x:v>
      </x:c>
      <x:c r="D100" t="str">
        <x:v>Target</x:v>
      </x:c>
      <x:c r="E100" t="str">
        <x:v>Groceries</x:v>
      </x:c>
      <x:c r="F100" t="str">
        <x:v>Expense</x:v>
      </x:c>
      <x:c r="G100" t="str">
        <x:v>Debit card</x:v>
      </x:c>
      <x:c r="H100" t="str">
        <x:v>No</x:v>
      </x:c>
      <x:c r="I100" s="8" t="n">
        <x:v>-73.99</x:v>
      </x:c>
      <x:c r="J100" s="8" t="n">
        <x:v>2661.23</x:v>
      </x:c>
      <x:c r="K100" t="str">
        <x:v>2026-06</x:v>
      </x:c>
      <x:c r="L100" t="str"/>
    </x:row>
    <x:row r="101">
      <x:c r="A101" s="6" t="n">
        <x:v>46180</x:v>
      </x:c>
      <x:c r="B101" t="str">
        <x:v>TXN-000095</x:v>
      </x:c>
      <x:c r="C101" t="str">
        <x:v>ALLSTATE AUTO INSURANCE</x:v>
      </x:c>
      <x:c r="D101" t="str">
        <x:v>Allstate</x:v>
      </x:c>
      <x:c r="E101" t="str">
        <x:v>Insurance</x:v>
      </x:c>
      <x:c r="F101" t="str">
        <x:v>Expense</x:v>
      </x:c>
      <x:c r="G101" t="str">
        <x:v>ACH</x:v>
      </x:c>
      <x:c r="H101" t="str">
        <x:v>Yes</x:v>
      </x:c>
      <x:c r="I101" s="8" t="n">
        <x:v>-142.6</x:v>
      </x:c>
      <x:c r="J101" s="8" t="n">
        <x:v>2518.63</x:v>
      </x:c>
      <x:c r="K101" t="str">
        <x:v>2026-06</x:v>
      </x:c>
      <x:c r="L101" t="str"/>
    </x:row>
    <x:row r="102">
      <x:c r="A102" s="6" t="n">
        <x:v>46180</x:v>
      </x:c>
      <x:c r="B102" t="str">
        <x:v>TXN-000127</x:v>
      </x:c>
      <x:c r="C102" t="str">
        <x:v>ONLINE PURCHASE HOME DEPOT</x:v>
      </x:c>
      <x:c r="D102" t="str">
        <x:v>Home Depot</x:v>
      </x:c>
      <x:c r="E102" t="str">
        <x:v>Shopping</x:v>
      </x:c>
      <x:c r="F102" t="str">
        <x:v>Expense</x:v>
      </x:c>
      <x:c r="G102" t="str">
        <x:v>Card on file</x:v>
      </x:c>
      <x:c r="H102" t="str">
        <x:v>No</x:v>
      </x:c>
      <x:c r="I102" s="8" t="n">
        <x:v>-18.62</x:v>
      </x:c>
      <x:c r="J102" s="8" t="n">
        <x:v>2500.01</x:v>
      </x:c>
      <x:c r="K102" t="str">
        <x:v>2026-06</x:v>
      </x:c>
      <x:c r="L102" t="str"/>
    </x:row>
    <x:row r="103">
      <x:c r="A103" s="6" t="n">
        <x:v>46181</x:v>
      </x:c>
      <x:c r="B103" t="str">
        <x:v>TXN-000125</x:v>
      </x:c>
      <x:c r="C103" t="str">
        <x:v>PARKING / PUBLIC TRANSIT</x:v>
      </x:c>
      <x:c r="D103" t="str">
        <x:v>Local Transit</x:v>
      </x:c>
      <x:c r="E103" t="str">
        <x:v>Transportation</x:v>
      </x:c>
      <x:c r="F103" t="str">
        <x:v>Expense</x:v>
      </x:c>
      <x:c r="G103" t="str">
        <x:v>Debit card</x:v>
      </x:c>
      <x:c r="H103" t="str">
        <x:v>No</x:v>
      </x:c>
      <x:c r="I103" s="8" t="n">
        <x:v>-18.79</x:v>
      </x:c>
      <x:c r="J103" s="8" t="n">
        <x:v>2481.22</x:v>
      </x:c>
      <x:c r="K103" t="str">
        <x:v>2026-06</x:v>
      </x:c>
      <x:c r="L103" t="str"/>
    </x:row>
    <x:row r="104">
      <x:c r="A104" s="6" t="n">
        <x:v>46182</x:v>
      </x:c>
      <x:c r="B104" t="str">
        <x:v>TXN-000096</x:v>
      </x:c>
      <x:c r="C104" t="str">
        <x:v>CITY WATER SEWER</x:v>
      </x:c>
      <x:c r="D104" t="str">
        <x:v>City Utilities</x:v>
      </x:c>
      <x:c r="E104" t="str">
        <x:v>Utilities</x:v>
      </x:c>
      <x:c r="F104" t="str">
        <x:v>Expense</x:v>
      </x:c>
      <x:c r="G104" t="str">
        <x:v>ACH</x:v>
      </x:c>
      <x:c r="H104" t="str">
        <x:v>Yes</x:v>
      </x:c>
      <x:c r="I104" s="8" t="n">
        <x:v>-46.4</x:v>
      </x:c>
      <x:c r="J104" s="8" t="n">
        <x:v>2434.82</x:v>
      </x:c>
      <x:c r="K104" t="str">
        <x:v>2026-06</x:v>
      </x:c>
      <x:c r="L104" t="str"/>
    </x:row>
    <x:row r="105">
      <x:c r="A105" s="6" t="n">
        <x:v>46183</x:v>
      </x:c>
      <x:c r="B105" t="str">
        <x:v>TXN-000097</x:v>
      </x:c>
      <x:c r="C105" t="str">
        <x:v>PLANET FITNESS MEMBERSHIP</x:v>
      </x:c>
      <x:c r="D105" t="str">
        <x:v>Planet Fitness</x:v>
      </x:c>
      <x:c r="E105" t="str">
        <x:v>Fitness</x:v>
      </x:c>
      <x:c r="F105" t="str">
        <x:v>Expense</x:v>
      </x:c>
      <x:c r="G105" t="str">
        <x:v>Card on file</x:v>
      </x:c>
      <x:c r="H105" t="str">
        <x:v>Yes</x:v>
      </x:c>
      <x:c r="I105" s="8" t="n">
        <x:v>-24.99</x:v>
      </x:c>
      <x:c r="J105" s="8" t="n">
        <x:v>2409.83</x:v>
      </x:c>
      <x:c r="K105" t="str">
        <x:v>2026-06</x:v>
      </x:c>
      <x:c r="L105" t="str"/>
    </x:row>
    <x:row r="106">
      <x:c r="A106" s="6" t="n">
        <x:v>46183</x:v>
      </x:c>
      <x:c r="B106" t="str">
        <x:v>TXN-000110</x:v>
      </x:c>
      <x:c r="C106" t="str">
        <x:v>POS PURCHASE GIANT FOOD #9364</x:v>
      </x:c>
      <x:c r="D106" t="str">
        <x:v>Giant Food</x:v>
      </x:c>
      <x:c r="E106" t="str">
        <x:v>Groceries</x:v>
      </x:c>
      <x:c r="F106" t="str">
        <x:v>Expense</x:v>
      </x:c>
      <x:c r="G106" t="str">
        <x:v>Debit card</x:v>
      </x:c>
      <x:c r="H106" t="str">
        <x:v>No</x:v>
      </x:c>
      <x:c r="I106" s="8" t="n">
        <x:v>-96.6</x:v>
      </x:c>
      <x:c r="J106" s="8" t="n">
        <x:v>2313.23</x:v>
      </x:c>
      <x:c r="K106" t="str">
        <x:v>2026-06</x:v>
      </x:c>
      <x:c r="L106" t="str"/>
    </x:row>
    <x:row r="107">
      <x:c r="A107" s="6" t="n">
        <x:v>46184</x:v>
      </x:c>
      <x:c r="B107" t="str">
        <x:v>TXN-000117</x:v>
      </x:c>
      <x:c r="C107" t="str">
        <x:v>PAY AT PUMP SUNOCO</x:v>
      </x:c>
      <x:c r="D107" t="str">
        <x:v>Sunoco</x:v>
      </x:c>
      <x:c r="E107" t="str">
        <x:v>Gas &amp; fuel</x:v>
      </x:c>
      <x:c r="F107" t="str">
        <x:v>Expense</x:v>
      </x:c>
      <x:c r="G107" t="str">
        <x:v>Debit card</x:v>
      </x:c>
      <x:c r="H107" t="str">
        <x:v>No</x:v>
      </x:c>
      <x:c r="I107" s="8" t="n">
        <x:v>-31.31</x:v>
      </x:c>
      <x:c r="J107" s="8" t="n">
        <x:v>2281.92</x:v>
      </x:c>
      <x:c r="K107" t="str">
        <x:v>2026-06</x:v>
      </x:c>
      <x:c r="L107" t="str"/>
    </x:row>
    <x:row r="108">
      <x:c r="A108" s="6" t="n">
        <x:v>46185</x:v>
      </x:c>
      <x:c r="B108" t="str">
        <x:v>TXN-000098</x:v>
      </x:c>
      <x:c r="C108" t="str">
        <x:v>NETFLIX STANDARD</x:v>
      </x:c>
      <x:c r="D108" t="str">
        <x:v>Netflix</x:v>
      </x:c>
      <x:c r="E108" t="str">
        <x:v>Subscriptions</x:v>
      </x:c>
      <x:c r="F108" t="str">
        <x:v>Expense</x:v>
      </x:c>
      <x:c r="G108" t="str">
        <x:v>Card on file</x:v>
      </x:c>
      <x:c r="H108" t="str">
        <x:v>Yes</x:v>
      </x:c>
      <x:c r="I108" s="8" t="n">
        <x:v>-17.99</x:v>
      </x:c>
      <x:c r="J108" s="8" t="n">
        <x:v>2263.93</x:v>
      </x:c>
      <x:c r="K108" t="str">
        <x:v>2026-06</x:v>
      </x:c>
      <x:c r="L108" t="str"/>
    </x:row>
    <x:row r="109">
      <x:c r="A109" s="6" t="n">
        <x:v>46185</x:v>
      </x:c>
      <x:c r="B109" t="str">
        <x:v>TXN-000121</x:v>
      </x:c>
      <x:c r="C109" t="str">
        <x:v>POS PURCHASE PANERA BREAD</x:v>
      </x:c>
      <x:c r="D109" t="str">
        <x:v>Panera Bread</x:v>
      </x:c>
      <x:c r="E109" t="str">
        <x:v>Dining out</x:v>
      </x:c>
      <x:c r="F109" t="str">
        <x:v>Expense</x:v>
      </x:c>
      <x:c r="G109" t="str">
        <x:v>Debit card</x:v>
      </x:c>
      <x:c r="H109" t="str">
        <x:v>No</x:v>
      </x:c>
      <x:c r="I109" s="8" t="n">
        <x:v>-15.81</x:v>
      </x:c>
      <x:c r="J109" s="8" t="n">
        <x:v>2248.12</x:v>
      </x:c>
      <x:c r="K109" t="str">
        <x:v>2026-06</x:v>
      </x:c>
      <x:c r="L109" t="str"/>
    </x:row>
    <x:row r="110">
      <x:c r="A110" s="6" t="n">
        <x:v>46186</x:v>
      </x:c>
      <x:c r="B110" t="str">
        <x:v>TXN-000129</x:v>
      </x:c>
      <x:c r="C110" t="str">
        <x:v>CARD PURCHASE AMC THEATRES</x:v>
      </x:c>
      <x:c r="D110" t="str">
        <x:v>AMC Theatres</x:v>
      </x:c>
      <x:c r="E110" t="str">
        <x:v>Entertainment</x:v>
      </x:c>
      <x:c r="F110" t="str">
        <x:v>Expense</x:v>
      </x:c>
      <x:c r="G110" t="str">
        <x:v>Debit card</x:v>
      </x:c>
      <x:c r="H110" t="str">
        <x:v>No</x:v>
      </x:c>
      <x:c r="I110" s="8" t="n">
        <x:v>-43.11</x:v>
      </x:c>
      <x:c r="J110" s="8" t="n">
        <x:v>2205.01</x:v>
      </x:c>
      <x:c r="K110" t="str">
        <x:v>2026-06</x:v>
      </x:c>
      <x:c r="L110" t="str"/>
    </x:row>
    <x:row r="111">
      <x:c r="A111" s="6" t="n">
        <x:v>46187</x:v>
      </x:c>
      <x:c r="B111" t="str">
        <x:v>TXN-000111</x:v>
      </x:c>
      <x:c r="C111" t="str">
        <x:v>POS PURCHASE ALDI #7979</x:v>
      </x:c>
      <x:c r="D111" t="str">
        <x:v>Aldi</x:v>
      </x:c>
      <x:c r="E111" t="str">
        <x:v>Groceries</x:v>
      </x:c>
      <x:c r="F111" t="str">
        <x:v>Expense</x:v>
      </x:c>
      <x:c r="G111" t="str">
        <x:v>Debit card</x:v>
      </x:c>
      <x:c r="H111" t="str">
        <x:v>No</x:v>
      </x:c>
      <x:c r="I111" s="8" t="n">
        <x:v>-90.3</x:v>
      </x:c>
      <x:c r="J111" s="8" t="n">
        <x:v>2114.71</x:v>
      </x:c>
      <x:c r="K111" t="str">
        <x:v>2026-06</x:v>
      </x:c>
      <x:c r="L111" t="str"/>
    </x:row>
    <x:row r="112">
      <x:c r="A112" s="6" t="n">
        <x:v>46188</x:v>
      </x:c>
      <x:c r="B112" t="str">
        <x:v>TXN-000104</x:v>
      </x:c>
      <x:c r="C112" t="str">
        <x:v>PAYROLL DIRECT DEP / BRIGHTWAVE SYSTEMS</x:v>
      </x:c>
      <x:c r="D112" t="str">
        <x:v>BrightWave Systems</x:v>
      </x:c>
      <x:c r="E112" t="str">
        <x:v>Paycheck</x:v>
      </x:c>
      <x:c r="F112" t="str">
        <x:v>Income</x:v>
      </x:c>
      <x:c r="G112" t="str">
        <x:v>Direct deposit</x:v>
      </x:c>
      <x:c r="H112" t="str">
        <x:v>Yes</x:v>
      </x:c>
      <x:c r="I112" s="8" t="n">
        <x:v>2453.05</x:v>
      </x:c>
      <x:c r="J112" s="8" t="n">
        <x:v>4567.76</x:v>
      </x:c>
      <x:c r="K112" t="str">
        <x:v>2026-06</x:v>
      </x:c>
      <x:c r="L112" t="str">
        <x:v>Net payroll; gross and withholdings in Profile</x:v>
      </x:c>
    </x:row>
    <x:row r="113">
      <x:c r="A113" s="6" t="n">
        <x:v>46188</x:v>
      </x:c>
      <x:c r="B113" t="str">
        <x:v>TXN-000105</x:v>
      </x:c>
      <x:c r="C113" t="str">
        <x:v>ONLINE TRANSFER TO SAVINGS ****7721</x:v>
      </x:c>
      <x:c r="D113" t="str">
        <x:v>Internal savings transfer</x:v>
      </x:c>
      <x:c r="E113" t="str">
        <x:v>Savings transfer</x:v>
      </x:c>
      <x:c r="F113" t="str">
        <x:v>Transfer</x:v>
      </x:c>
      <x:c r="G113" t="str">
        <x:v>Internal transfer</x:v>
      </x:c>
      <x:c r="H113" t="str">
        <x:v>Yes</x:v>
      </x:c>
      <x:c r="I113" s="8" t="n">
        <x:v>-350</x:v>
      </x:c>
      <x:c r="J113" s="8" t="n">
        <x:v>4217.76</x:v>
      </x:c>
      <x:c r="K113" t="str">
        <x:v>2026-06</x:v>
      </x:c>
      <x:c r="L113" t="str"/>
    </x:row>
    <x:row r="114">
      <x:c r="A114" s="6" t="n">
        <x:v>46189</x:v>
      </x:c>
      <x:c r="B114" t="str">
        <x:v>TXN-000099</x:v>
      </x:c>
      <x:c r="C114" t="str">
        <x:v>TOYOTA FINANCIAL LOAN PAYMENT</x:v>
      </x:c>
      <x:c r="D114" t="str">
        <x:v>Toyota Financial</x:v>
      </x:c>
      <x:c r="E114" t="str">
        <x:v>Auto loan</x:v>
      </x:c>
      <x:c r="F114" t="str">
        <x:v>Expense</x:v>
      </x:c>
      <x:c r="G114" t="str">
        <x:v>ACH</x:v>
      </x:c>
      <x:c r="H114" t="str">
        <x:v>Yes</x:v>
      </x:c>
      <x:c r="I114" s="8" t="n">
        <x:v>-318.75</x:v>
      </x:c>
      <x:c r="J114" s="8" t="n">
        <x:v>3899.01</x:v>
      </x:c>
      <x:c r="K114" t="str">
        <x:v>2026-06</x:v>
      </x:c>
      <x:c r="L114" t="str"/>
    </x:row>
    <x:row r="115">
      <x:c r="A115" s="6" t="n">
        <x:v>46191</x:v>
      </x:c>
      <x:c r="B115" t="str">
        <x:v>TXN-000112</x:v>
      </x:c>
      <x:c r="C115" t="str">
        <x:v>POS PURCHASE TARGET #5340</x:v>
      </x:c>
      <x:c r="D115" t="str">
        <x:v>Target</x:v>
      </x:c>
      <x:c r="E115" t="str">
        <x:v>Groceries</x:v>
      </x:c>
      <x:c r="F115" t="str">
        <x:v>Expense</x:v>
      </x:c>
      <x:c r="G115" t="str">
        <x:v>Debit card</x:v>
      </x:c>
      <x:c r="H115" t="str">
        <x:v>No</x:v>
      </x:c>
      <x:c r="I115" s="8" t="n">
        <x:v>-56.59</x:v>
      </x:c>
      <x:c r="J115" s="8" t="n">
        <x:v>3842.42</x:v>
      </x:c>
      <x:c r="K115" t="str">
        <x:v>2026-06</x:v>
      </x:c>
      <x:c r="L115" t="str"/>
    </x:row>
    <x:row r="116">
      <x:c r="A116" s="6" t="n">
        <x:v>46191</x:v>
      </x:c>
      <x:c r="B116" t="str">
        <x:v>TXN-000122</x:v>
      </x:c>
      <x:c r="C116" t="str">
        <x:v>POS PURCHASE STARBUCKS</x:v>
      </x:c>
      <x:c r="D116" t="str">
        <x:v>Starbucks</x:v>
      </x:c>
      <x:c r="E116" t="str">
        <x:v>Dining out</x:v>
      </x:c>
      <x:c r="F116" t="str">
        <x:v>Expense</x:v>
      </x:c>
      <x:c r="G116" t="str">
        <x:v>Debit card</x:v>
      </x:c>
      <x:c r="H116" t="str">
        <x:v>No</x:v>
      </x:c>
      <x:c r="I116" s="8" t="n">
        <x:v>-24.72</x:v>
      </x:c>
      <x:c r="J116" s="8" t="n">
        <x:v>3817.7</x:v>
      </x:c>
      <x:c r="K116" t="str">
        <x:v>2026-06</x:v>
      </x:c>
      <x:c r="L116" t="str"/>
    </x:row>
    <x:row r="117">
      <x:c r="A117" s="6" t="n">
        <x:v>46192</x:v>
      </x:c>
      <x:c r="B117" t="str">
        <x:v>TXN-000100</x:v>
      </x:c>
      <x:c r="C117" t="str">
        <x:v>APPLE ICLOUD STORAGE</x:v>
      </x:c>
      <x:c r="D117" t="str">
        <x:v>Apple</x:v>
      </x:c>
      <x:c r="E117" t="str">
        <x:v>Subscriptions</x:v>
      </x:c>
      <x:c r="F117" t="str">
        <x:v>Expense</x:v>
      </x:c>
      <x:c r="G117" t="str">
        <x:v>Card on file</x:v>
      </x:c>
      <x:c r="H117" t="str">
        <x:v>Yes</x:v>
      </x:c>
      <x:c r="I117" s="8" t="n">
        <x:v>-2.99</x:v>
      </x:c>
      <x:c r="J117" s="8" t="n">
        <x:v>3814.71</x:v>
      </x:c>
      <x:c r="K117" t="str">
        <x:v>2026-06</x:v>
      </x:c>
      <x:c r="L117" t="str"/>
    </x:row>
    <x:row r="118">
      <x:c r="A118" s="6" t="n">
        <x:v>46192</x:v>
      </x:c>
      <x:c r="B118" t="str">
        <x:v>TXN-000118</x:v>
      </x:c>
      <x:c r="C118" t="str">
        <x:v>PAY AT PUMP SUNOCO</x:v>
      </x:c>
      <x:c r="D118" t="str">
        <x:v>Sunoco</x:v>
      </x:c>
      <x:c r="E118" t="str">
        <x:v>Gas &amp; fuel</x:v>
      </x:c>
      <x:c r="F118" t="str">
        <x:v>Expense</x:v>
      </x:c>
      <x:c r="G118" t="str">
        <x:v>Debit card</x:v>
      </x:c>
      <x:c r="H118" t="str">
        <x:v>No</x:v>
      </x:c>
      <x:c r="I118" s="8" t="n">
        <x:v>-50.99</x:v>
      </x:c>
      <x:c r="J118" s="8" t="n">
        <x:v>3763.72</x:v>
      </x:c>
      <x:c r="K118" t="str">
        <x:v>2026-06</x:v>
      </x:c>
      <x:c r="L118" t="str"/>
    </x:row>
    <x:row r="119">
      <x:c r="A119" s="6" t="n">
        <x:v>46193</x:v>
      </x:c>
      <x:c r="B119" t="str">
        <x:v>TXN-000101</x:v>
      </x:c>
      <x:c r="C119" t="str">
        <x:v>STATE FARM RENTERS INSURANCE</x:v>
      </x:c>
      <x:c r="D119" t="str">
        <x:v>State Farm</x:v>
      </x:c>
      <x:c r="E119" t="str">
        <x:v>Insurance</x:v>
      </x:c>
      <x:c r="F119" t="str">
        <x:v>Expense</x:v>
      </x:c>
      <x:c r="G119" t="str">
        <x:v>ACH</x:v>
      </x:c>
      <x:c r="H119" t="str">
        <x:v>Yes</x:v>
      </x:c>
      <x:c r="I119" s="8" t="n">
        <x:v>-18.25</x:v>
      </x:c>
      <x:c r="J119" s="8" t="n">
        <x:v>3745.47</x:v>
      </x:c>
      <x:c r="K119" t="str">
        <x:v>2026-06</x:v>
      </x:c>
      <x:c r="L119" t="str"/>
    </x:row>
    <x:row r="120">
      <x:c r="A120" s="6" t="n">
        <x:v>46193</x:v>
      </x:c>
      <x:c r="B120" t="str">
        <x:v>TXN-000131</x:v>
      </x:c>
      <x:c r="C120" t="str">
        <x:v>CVS PHARMACY PURCHASE</x:v>
      </x:c>
      <x:c r="D120" t="str">
        <x:v>CVS</x:v>
      </x:c>
      <x:c r="E120" t="str">
        <x:v>Health &amp; pharmacy</x:v>
      </x:c>
      <x:c r="F120" t="str">
        <x:v>Expense</x:v>
      </x:c>
      <x:c r="G120" t="str">
        <x:v>Debit card</x:v>
      </x:c>
      <x:c r="H120" t="str">
        <x:v>No</x:v>
      </x:c>
      <x:c r="I120" s="8" t="n">
        <x:v>-9.51</x:v>
      </x:c>
      <x:c r="J120" s="8" t="n">
        <x:v>3735.96</x:v>
      </x:c>
      <x:c r="K120" t="str">
        <x:v>2026-06</x:v>
      </x:c>
      <x:c r="L120" t="str"/>
    </x:row>
    <x:row r="121">
      <x:c r="A121" s="6" t="n">
        <x:v>46194</x:v>
      </x:c>
      <x:c r="B121" t="str">
        <x:v>TXN-000102</x:v>
      </x:c>
      <x:c r="C121" t="str">
        <x:v>PAYMENT STUDENT LOAN SERVICER</x:v>
      </x:c>
      <x:c r="D121" t="str">
        <x:v>Federal Student Aid Servicer</x:v>
      </x:c>
      <x:c r="E121" t="str">
        <x:v>Student loans</x:v>
      </x:c>
      <x:c r="F121" t="str">
        <x:v>Expense</x:v>
      </x:c>
      <x:c r="G121" t="str">
        <x:v>ACH</x:v>
      </x:c>
      <x:c r="H121" t="str">
        <x:v>Yes</x:v>
      </x:c>
      <x:c r="I121" s="8" t="n">
        <x:v>-185</x:v>
      </x:c>
      <x:c r="J121" s="8" t="n">
        <x:v>3550.96</x:v>
      </x:c>
      <x:c r="K121" t="str">
        <x:v>2026-06</x:v>
      </x:c>
      <x:c r="L121" t="str"/>
    </x:row>
    <x:row r="122">
      <x:c r="A122" s="6" t="n">
        <x:v>46195</x:v>
      </x:c>
      <x:c r="B122" t="str">
        <x:v>TXN-000113</x:v>
      </x:c>
      <x:c r="C122" t="str">
        <x:v>POS PURCHASE GIANT FOOD #3343</x:v>
      </x:c>
      <x:c r="D122" t="str">
        <x:v>Giant Food</x:v>
      </x:c>
      <x:c r="E122" t="str">
        <x:v>Groceries</x:v>
      </x:c>
      <x:c r="F122" t="str">
        <x:v>Expense</x:v>
      </x:c>
      <x:c r="G122" t="str">
        <x:v>Debit card</x:v>
      </x:c>
      <x:c r="H122" t="str">
        <x:v>No</x:v>
      </x:c>
      <x:c r="I122" s="8" t="n">
        <x:v>-38.61</x:v>
      </x:c>
      <x:c r="J122" s="8" t="n">
        <x:v>3512.35</x:v>
      </x:c>
      <x:c r="K122" t="str">
        <x:v>2026-06</x:v>
      </x:c>
      <x:c r="L122" t="str"/>
    </x:row>
    <x:row r="123">
      <x:c r="A123" s="6" t="n">
        <x:v>46195</x:v>
      </x:c>
      <x:c r="B123" t="str">
        <x:v>TXN-000126</x:v>
      </x:c>
      <x:c r="C123" t="str">
        <x:v>PARKING / PUBLIC TRANSIT</x:v>
      </x:c>
      <x:c r="D123" t="str">
        <x:v>Local Transit</x:v>
      </x:c>
      <x:c r="E123" t="str">
        <x:v>Transportation</x:v>
      </x:c>
      <x:c r="F123" t="str">
        <x:v>Expense</x:v>
      </x:c>
      <x:c r="G123" t="str">
        <x:v>Debit card</x:v>
      </x:c>
      <x:c r="H123" t="str">
        <x:v>No</x:v>
      </x:c>
      <x:c r="I123" s="8" t="n">
        <x:v>-21.62</x:v>
      </x:c>
      <x:c r="J123" s="8" t="n">
        <x:v>3490.73</x:v>
      </x:c>
      <x:c r="K123" t="str">
        <x:v>2026-06</x:v>
      </x:c>
      <x:c r="L123" t="str"/>
    </x:row>
    <x:row r="124">
      <x:c r="A124" s="6" t="n">
        <x:v>46196</x:v>
      </x:c>
      <x:c r="B124" t="str">
        <x:v>TXN-000123</x:v>
      </x:c>
      <x:c r="C124" t="str">
        <x:v>POS PURCHASE PANERA BREAD</x:v>
      </x:c>
      <x:c r="D124" t="str">
        <x:v>Panera Bread</x:v>
      </x:c>
      <x:c r="E124" t="str">
        <x:v>Dining out</x:v>
      </x:c>
      <x:c r="F124" t="str">
        <x:v>Expense</x:v>
      </x:c>
      <x:c r="G124" t="str">
        <x:v>Debit card</x:v>
      </x:c>
      <x:c r="H124" t="str">
        <x:v>No</x:v>
      </x:c>
      <x:c r="I124" s="8" t="n">
        <x:v>-10.27</x:v>
      </x:c>
      <x:c r="J124" s="8" t="n">
        <x:v>3480.46</x:v>
      </x:c>
      <x:c r="K124" t="str">
        <x:v>2026-06</x:v>
      </x:c>
      <x:c r="L124" t="str"/>
    </x:row>
    <x:row r="125">
      <x:c r="A125" s="6" t="n">
        <x:v>46197</x:v>
      </x:c>
      <x:c r="B125" t="str">
        <x:v>TXN-000128</x:v>
      </x:c>
      <x:c r="C125" t="str">
        <x:v>ONLINE PURCHASE TARGET</x:v>
      </x:c>
      <x:c r="D125" t="str">
        <x:v>Target</x:v>
      </x:c>
      <x:c r="E125" t="str">
        <x:v>Shopping</x:v>
      </x:c>
      <x:c r="F125" t="str">
        <x:v>Expense</x:v>
      </x:c>
      <x:c r="G125" t="str">
        <x:v>Card on file</x:v>
      </x:c>
      <x:c r="H125" t="str">
        <x:v>No</x:v>
      </x:c>
      <x:c r="I125" s="8" t="n">
        <x:v>-29.14</x:v>
      </x:c>
      <x:c r="J125" s="8" t="n">
        <x:v>3451.32</x:v>
      </x:c>
      <x:c r="K125" t="str">
        <x:v>2026-06</x:v>
      </x:c>
      <x:c r="L125" t="str"/>
    </x:row>
    <x:row r="126">
      <x:c r="A126" s="6" t="n">
        <x:v>46198</x:v>
      </x:c>
      <x:c r="B126" t="str">
        <x:v>TXN-000103</x:v>
      </x:c>
      <x:c r="C126" t="str">
        <x:v>AMAZON PRIME MEMBERSHIP</x:v>
      </x:c>
      <x:c r="D126" t="str">
        <x:v>Amazon</x:v>
      </x:c>
      <x:c r="E126" t="str">
        <x:v>Subscriptions</x:v>
      </x:c>
      <x:c r="F126" t="str">
        <x:v>Expense</x:v>
      </x:c>
      <x:c r="G126" t="str">
        <x:v>Card on file</x:v>
      </x:c>
      <x:c r="H126" t="str">
        <x:v>Yes</x:v>
      </x:c>
      <x:c r="I126" s="8" t="n">
        <x:v>-14.99</x:v>
      </x:c>
      <x:c r="J126" s="8" t="n">
        <x:v>3436.33</x:v>
      </x:c>
      <x:c r="K126" t="str">
        <x:v>2026-06</x:v>
      </x:c>
      <x:c r="L126" t="str"/>
    </x:row>
    <x:row r="127">
      <x:c r="A127" s="6" t="n">
        <x:v>46198</x:v>
      </x:c>
      <x:c r="B127" t="str">
        <x:v>TXN-000133</x:v>
      </x:c>
      <x:c r="C127" t="str">
        <x:v>WEEKEND HOTEL</x:v>
      </x:c>
      <x:c r="D127" t="str">
        <x:v>Marriott</x:v>
      </x:c>
      <x:c r="E127" t="str">
        <x:v>Travel</x:v>
      </x:c>
      <x:c r="F127" t="str">
        <x:v>Expense</x:v>
      </x:c>
      <x:c r="G127" t="str">
        <x:v>Debit card</x:v>
      </x:c>
      <x:c r="H127" t="str">
        <x:v>No</x:v>
      </x:c>
      <x:c r="I127" s="8" t="n">
        <x:v>-165</x:v>
      </x:c>
      <x:c r="J127" s="8" t="n">
        <x:v>3271.33</x:v>
      </x:c>
      <x:c r="K127" t="str">
        <x:v>2026-06</x:v>
      </x:c>
      <x:c r="L127" t="str"/>
    </x:row>
    <x:row r="128">
      <x:c r="A128" s="6" t="n">
        <x:v>46199</x:v>
      </x:c>
      <x:c r="B128" t="str">
        <x:v>TXN-000114</x:v>
      </x:c>
      <x:c r="C128" t="str">
        <x:v>POS PURCHASE GIANT FOOD #5629</x:v>
      </x:c>
      <x:c r="D128" t="str">
        <x:v>Giant Food</x:v>
      </x:c>
      <x:c r="E128" t="str">
        <x:v>Groceries</x:v>
      </x:c>
      <x:c r="F128" t="str">
        <x:v>Expense</x:v>
      </x:c>
      <x:c r="G128" t="str">
        <x:v>Debit card</x:v>
      </x:c>
      <x:c r="H128" t="str">
        <x:v>No</x:v>
      </x:c>
      <x:c r="I128" s="8" t="n">
        <x:v>-26.22</x:v>
      </x:c>
      <x:c r="J128" s="8" t="n">
        <x:v>3245.11</x:v>
      </x:c>
      <x:c r="K128" t="str">
        <x:v>2026-06</x:v>
      </x:c>
      <x:c r="L128" t="str"/>
    </x:row>
    <x:row r="129">
      <x:c r="A129" s="6" t="n">
        <x:v>46200</x:v>
      </x:c>
      <x:c r="B129" t="str">
        <x:v>TXN-000119</x:v>
      </x:c>
      <x:c r="C129" t="str">
        <x:v>PAY AT PUMP WAWA</x:v>
      </x:c>
      <x:c r="D129" t="str">
        <x:v>Wawa</x:v>
      </x:c>
      <x:c r="E129" t="str">
        <x:v>Gas &amp; fuel</x:v>
      </x:c>
      <x:c r="F129" t="str">
        <x:v>Expense</x:v>
      </x:c>
      <x:c r="G129" t="str">
        <x:v>Debit card</x:v>
      </x:c>
      <x:c r="H129" t="str">
        <x:v>No</x:v>
      </x:c>
      <x:c r="I129" s="8" t="n">
        <x:v>-48.06</x:v>
      </x:c>
      <x:c r="J129" s="8" t="n">
        <x:v>3197.05</x:v>
      </x:c>
      <x:c r="K129" t="str">
        <x:v>2026-06</x:v>
      </x:c>
      <x:c r="L129" t="str"/>
    </x:row>
    <x:row r="130">
      <x:c r="A130" s="6" t="n">
        <x:v>46200</x:v>
      </x:c>
      <x:c r="B130" t="str">
        <x:v>TXN-000130</x:v>
      </x:c>
      <x:c r="C130" t="str">
        <x:v>CARD PURCHASE AMC THEATRES</x:v>
      </x:c>
      <x:c r="D130" t="str">
        <x:v>AMC Theatres</x:v>
      </x:c>
      <x:c r="E130" t="str">
        <x:v>Entertainment</x:v>
      </x:c>
      <x:c r="F130" t="str">
        <x:v>Expense</x:v>
      </x:c>
      <x:c r="G130" t="str">
        <x:v>Debit card</x:v>
      </x:c>
      <x:c r="H130" t="str">
        <x:v>No</x:v>
      </x:c>
      <x:c r="I130" s="8" t="n">
        <x:v>-34.23</x:v>
      </x:c>
      <x:c r="J130" s="8" t="n">
        <x:v>3162.82</x:v>
      </x:c>
      <x:c r="K130" t="str">
        <x:v>2026-06</x:v>
      </x:c>
      <x:c r="L130" t="str"/>
    </x:row>
    <x:row r="131">
      <x:c r="A131" s="6" t="n">
        <x:v>46200</x:v>
      </x:c>
      <x:c r="B131" t="str">
        <x:v>TXN-000134</x:v>
      </x:c>
      <x:c r="C131" t="str">
        <x:v>RESTAURANT WEEKEND TRIP</x:v>
      </x:c>
      <x:c r="D131" t="str">
        <x:v>Restaurant</x:v>
      </x:c>
      <x:c r="E131" t="str">
        <x:v>Dining out</x:v>
      </x:c>
      <x:c r="F131" t="str">
        <x:v>Expense</x:v>
      </x:c>
      <x:c r="G131" t="str">
        <x:v>Debit card</x:v>
      </x:c>
      <x:c r="H131" t="str">
        <x:v>No</x:v>
      </x:c>
      <x:c r="I131" s="8" t="n">
        <x:v>-56.9</x:v>
      </x:c>
      <x:c r="J131" s="8" t="n">
        <x:v>3105.92</x:v>
      </x:c>
      <x:c r="K131" t="str">
        <x:v>2026-06</x:v>
      </x:c>
      <x:c r="L131" t="str"/>
    </x:row>
    <x:row r="132">
      <x:c r="A132" s="6" t="n">
        <x:v>46201</x:v>
      </x:c>
      <x:c r="B132" t="str">
        <x:v>TXN-000124</x:v>
      </x:c>
      <x:c r="C132" t="str">
        <x:v>POS PURCHASE TACO BELL</x:v>
      </x:c>
      <x:c r="D132" t="str">
        <x:v>Taco Bell</x:v>
      </x:c>
      <x:c r="E132" t="str">
        <x:v>Dining out</x:v>
      </x:c>
      <x:c r="F132" t="str">
        <x:v>Expense</x:v>
      </x:c>
      <x:c r="G132" t="str">
        <x:v>Debit card</x:v>
      </x:c>
      <x:c r="H132" t="str">
        <x:v>No</x:v>
      </x:c>
      <x:c r="I132" s="8" t="n">
        <x:v>-29.89</x:v>
      </x:c>
      <x:c r="J132" s="8" t="n">
        <x:v>3076.03</x:v>
      </x:c>
      <x:c r="K132" t="str">
        <x:v>2026-06</x:v>
      </x:c>
      <x:c r="L132" t="str"/>
    </x:row>
    <x:row r="133">
      <x:c r="A133" s="6" t="n">
        <x:v>46202</x:v>
      </x:c>
      <x:c r="B133" t="str">
        <x:v>TXN-000115</x:v>
      </x:c>
      <x:c r="C133" t="str">
        <x:v>POS PURCHASE ALDI #9260</x:v>
      </x:c>
      <x:c r="D133" t="str">
        <x:v>Aldi</x:v>
      </x:c>
      <x:c r="E133" t="str">
        <x:v>Groceries</x:v>
      </x:c>
      <x:c r="F133" t="str">
        <x:v>Expense</x:v>
      </x:c>
      <x:c r="G133" t="str">
        <x:v>Debit card</x:v>
      </x:c>
      <x:c r="H133" t="str">
        <x:v>No</x:v>
      </x:c>
      <x:c r="I133" s="8" t="n">
        <x:v>-50.32</x:v>
      </x:c>
      <x:c r="J133" s="8" t="n">
        <x:v>3025.71</x:v>
      </x:c>
      <x:c r="K133" t="str">
        <x:v>2026-06</x:v>
      </x:c>
      <x:c r="L133" t="str"/>
    </x:row>
    <x:row r="134">
      <x:c r="A134" s="6" t="n">
        <x:v>46203</x:v>
      </x:c>
      <x:c r="B134" t="str">
        <x:v>TXN-000106</x:v>
      </x:c>
      <x:c r="C134" t="str">
        <x:v>PAYROLL DIRECT DEP / BRIGHTWAVE SYSTEMS</x:v>
      </x:c>
      <x:c r="D134" t="str">
        <x:v>BrightWave Systems</x:v>
      </x:c>
      <x:c r="E134" t="str">
        <x:v>Paycheck</x:v>
      </x:c>
      <x:c r="F134" t="str">
        <x:v>Income</x:v>
      </x:c>
      <x:c r="G134" t="str">
        <x:v>Direct deposit</x:v>
      </x:c>
      <x:c r="H134" t="str">
        <x:v>Yes</x:v>
      </x:c>
      <x:c r="I134" s="8" t="n">
        <x:v>2429.65</x:v>
      </x:c>
      <x:c r="J134" s="8" t="n">
        <x:v>5455.36</x:v>
      </x:c>
      <x:c r="K134" t="str">
        <x:v>2026-06</x:v>
      </x:c>
      <x:c r="L134" t="str">
        <x:v>Net payroll; gross and withholdings in Profile</x:v>
      </x:c>
    </x:row>
    <x:row r="135">
      <x:c r="A135" s="6" t="n">
        <x:v>46203</x:v>
      </x:c>
      <x:c r="B135" t="str">
        <x:v>TXN-000107</x:v>
      </x:c>
      <x:c r="C135" t="str">
        <x:v>ONLINE TRANSFER TO SAVINGS ****7721</x:v>
      </x:c>
      <x:c r="D135" t="str">
        <x:v>Internal savings transfer</x:v>
      </x:c>
      <x:c r="E135" t="str">
        <x:v>Savings transfer</x:v>
      </x:c>
      <x:c r="F135" t="str">
        <x:v>Transfer</x:v>
      </x:c>
      <x:c r="G135" t="str">
        <x:v>Internal transfer</x:v>
      </x:c>
      <x:c r="H135" t="str">
        <x:v>Yes</x:v>
      </x:c>
      <x:c r="I135" s="8" t="n">
        <x:v>-300</x:v>
      </x:c>
      <x:c r="J135" s="8" t="n">
        <x:v>5155.36</x:v>
      </x:c>
      <x:c r="K135" t="str">
        <x:v>2026-06</x:v>
      </x:c>
      <x:c r="L135" t="str"/>
    </x:row>
    <x:row r="136">
      <x:c r="A136" s="6" t="n">
        <x:v>46204</x:v>
      </x:c>
      <x:c r="B136" t="str">
        <x:v>TXN-000135</x:v>
      </x:c>
      <x:c r="C136" t="str">
        <x:v>RENT PMT GREENWOOD APARTMENTS</x:v>
      </x:c>
      <x:c r="D136" t="str">
        <x:v>Greenwood Apartments</x:v>
      </x:c>
      <x:c r="E136" t="str">
        <x:v>Housing</x:v>
      </x:c>
      <x:c r="F136" t="str">
        <x:v>Expense</x:v>
      </x:c>
      <x:c r="G136" t="str">
        <x:v>ACH</x:v>
      </x:c>
      <x:c r="H136" t="str">
        <x:v>Yes</x:v>
      </x:c>
      <x:c r="I136" s="8" t="n">
        <x:v>-1475</x:v>
      </x:c>
      <x:c r="J136" s="8" t="n">
        <x:v>3680.36</x:v>
      </x:c>
      <x:c r="K136" t="str">
        <x:v>2026-07</x:v>
      </x:c>
      <x:c r="L136" t="str"/>
    </x:row>
    <x:row r="137">
      <x:c r="A137" s="6" t="n">
        <x:v>46205</x:v>
      </x:c>
      <x:c r="B137" t="str">
        <x:v>TXN-000136</x:v>
      </x:c>
      <x:c r="C137" t="str">
        <x:v>PECO ENERGY AUTOPAY</x:v>
      </x:c>
      <x:c r="D137" t="str">
        <x:v>PECO Energy</x:v>
      </x:c>
      <x:c r="E137" t="str">
        <x:v>Utilities</x:v>
      </x:c>
      <x:c r="F137" t="str">
        <x:v>Expense</x:v>
      </x:c>
      <x:c r="G137" t="str">
        <x:v>ACH</x:v>
      </x:c>
      <x:c r="H137" t="str">
        <x:v>Yes</x:v>
      </x:c>
      <x:c r="I137" s="8" t="n">
        <x:v>-132.1</x:v>
      </x:c>
      <x:c r="J137" s="8" t="n">
        <x:v>3548.26</x:v>
      </x:c>
      <x:c r="K137" t="str">
        <x:v>2026-07</x:v>
      </x:c>
      <x:c r="L137" t="str"/>
    </x:row>
    <x:row r="138">
      <x:c r="A138" s="6" t="n">
        <x:v>46205</x:v>
      </x:c>
      <x:c r="B138" t="str">
        <x:v>TXN-000153</x:v>
      </x:c>
      <x:c r="C138" t="str">
        <x:v>POS PURCHASE ALDI #5925</x:v>
      </x:c>
      <x:c r="D138" t="str">
        <x:v>Aldi</x:v>
      </x:c>
      <x:c r="E138" t="str">
        <x:v>Groceries</x:v>
      </x:c>
      <x:c r="F138" t="str">
        <x:v>Expense</x:v>
      </x:c>
      <x:c r="G138" t="str">
        <x:v>Debit card</x:v>
      </x:c>
      <x:c r="H138" t="str">
        <x:v>No</x:v>
      </x:c>
      <x:c r="I138" s="8" t="n">
        <x:v>-88.12</x:v>
      </x:c>
      <x:c r="J138" s="8" t="n">
        <x:v>3460.14</x:v>
      </x:c>
      <x:c r="K138" t="str">
        <x:v>2026-07</x:v>
      </x:c>
      <x:c r="L138" t="str"/>
    </x:row>
    <x:row r="139">
      <x:c r="A139" s="6" t="n">
        <x:v>46206</x:v>
      </x:c>
      <x:c r="B139" t="str">
        <x:v>TXN-000137</x:v>
      </x:c>
      <x:c r="C139" t="str">
        <x:v>COMCAST INTERNET AUTOPAY</x:v>
      </x:c>
      <x:c r="D139" t="str">
        <x:v>Xfinity</x:v>
      </x:c>
      <x:c r="E139" t="str">
        <x:v>Internet</x:v>
      </x:c>
      <x:c r="F139" t="str">
        <x:v>Expense</x:v>
      </x:c>
      <x:c r="G139" t="str">
        <x:v>ACH</x:v>
      </x:c>
      <x:c r="H139" t="str">
        <x:v>Yes</x:v>
      </x:c>
      <x:c r="I139" s="8" t="n">
        <x:v>-65</x:v>
      </x:c>
      <x:c r="J139" s="8" t="n">
        <x:v>3395.14</x:v>
      </x:c>
      <x:c r="K139" t="str">
        <x:v>2026-07</x:v>
      </x:c>
      <x:c r="L139" t="str"/>
    </x:row>
    <x:row r="140">
      <x:c r="A140" s="6" t="n">
        <x:v>46206</x:v>
      </x:c>
      <x:c r="B140" t="str">
        <x:v>TXN-000161</x:v>
      </x:c>
      <x:c r="C140" t="str">
        <x:v>PAY AT PUMP SUNOCO</x:v>
      </x:c>
      <x:c r="D140" t="str">
        <x:v>Sunoco</x:v>
      </x:c>
      <x:c r="E140" t="str">
        <x:v>Gas &amp; fuel</x:v>
      </x:c>
      <x:c r="F140" t="str">
        <x:v>Expense</x:v>
      </x:c>
      <x:c r="G140" t="str">
        <x:v>Debit card</x:v>
      </x:c>
      <x:c r="H140" t="str">
        <x:v>No</x:v>
      </x:c>
      <x:c r="I140" s="8" t="n">
        <x:v>-34.92</x:v>
      </x:c>
      <x:c r="J140" s="8" t="n">
        <x:v>3360.22</x:v>
      </x:c>
      <x:c r="K140" t="str">
        <x:v>2026-07</x:v>
      </x:c>
      <x:c r="L140" t="str"/>
    </x:row>
    <x:row r="141">
      <x:c r="A141" s="6" t="n">
        <x:v>46207</x:v>
      </x:c>
      <x:c r="B141" t="str">
        <x:v>TXN-000138</x:v>
      </x:c>
      <x:c r="C141" t="str">
        <x:v>SPOTIFY PREMIUM</x:v>
      </x:c>
      <x:c r="D141" t="str">
        <x:v>Spotify</x:v>
      </x:c>
      <x:c r="E141" t="str">
        <x:v>Subscriptions</x:v>
      </x:c>
      <x:c r="F141" t="str">
        <x:v>Expense</x:v>
      </x:c>
      <x:c r="G141" t="str">
        <x:v>Card on file</x:v>
      </x:c>
      <x:c r="H141" t="str">
        <x:v>Yes</x:v>
      </x:c>
      <x:c r="I141" s="8" t="n">
        <x:v>-11.99</x:v>
      </x:c>
      <x:c r="J141" s="8" t="n">
        <x:v>3348.23</x:v>
      </x:c>
      <x:c r="K141" t="str">
        <x:v>2026-07</x:v>
      </x:c>
      <x:c r="L141" t="str"/>
    </x:row>
    <x:row r="142">
      <x:c r="A142" s="6" t="n">
        <x:v>46207</x:v>
      </x:c>
      <x:c r="B142" t="str">
        <x:v>TXN-000177</x:v>
      </x:c>
      <x:c r="C142" t="str">
        <x:v>PARKING TICKET</x:v>
      </x:c>
      <x:c r="D142" t="str">
        <x:v>City Parking</x:v>
      </x:c>
      <x:c r="E142" t="str">
        <x:v>Fees</x:v>
      </x:c>
      <x:c r="F142" t="str">
        <x:v>Expense</x:v>
      </x:c>
      <x:c r="G142" t="str">
        <x:v>Debit card</x:v>
      </x:c>
      <x:c r="H142" t="str">
        <x:v>No</x:v>
      </x:c>
      <x:c r="I142" s="8" t="n">
        <x:v>-30</x:v>
      </x:c>
      <x:c r="J142" s="8" t="n">
        <x:v>3318.23</x:v>
      </x:c>
      <x:c r="K142" t="str">
        <x:v>2026-07</x:v>
      </x:c>
      <x:c r="L142" t="str"/>
    </x:row>
    <x:row r="143">
      <x:c r="A143" s="6" t="n">
        <x:v>46208</x:v>
      </x:c>
      <x:c r="B143" t="str">
        <x:v>TXN-000139</x:v>
      </x:c>
      <x:c r="C143" t="str">
        <x:v>VERIZON WIRELESS</x:v>
      </x:c>
      <x:c r="D143" t="str">
        <x:v>Verizon</x:v>
      </x:c>
      <x:c r="E143" t="str">
        <x:v>Phone</x:v>
      </x:c>
      <x:c r="F143" t="str">
        <x:v>Expense</x:v>
      </x:c>
      <x:c r="G143" t="str">
        <x:v>ACH</x:v>
      </x:c>
      <x:c r="H143" t="str">
        <x:v>Yes</x:v>
      </x:c>
      <x:c r="I143" s="8" t="n">
        <x:v>-62</x:v>
      </x:c>
      <x:c r="J143" s="8" t="n">
        <x:v>3256.23</x:v>
      </x:c>
      <x:c r="K143" t="str">
        <x:v>2026-07</x:v>
      </x:c>
      <x:c r="L143" t="str"/>
    </x:row>
    <x:row r="144">
      <x:c r="A144" s="6" t="n">
        <x:v>46208</x:v>
      </x:c>
      <x:c r="B144" t="str">
        <x:v>TXN-000165</x:v>
      </x:c>
      <x:c r="C144" t="str">
        <x:v>POS PURCHASE CAVA</x:v>
      </x:c>
      <x:c r="D144" t="str">
        <x:v>Cava</x:v>
      </x:c>
      <x:c r="E144" t="str">
        <x:v>Dining out</x:v>
      </x:c>
      <x:c r="F144" t="str">
        <x:v>Expense</x:v>
      </x:c>
      <x:c r="G144" t="str">
        <x:v>Debit card</x:v>
      </x:c>
      <x:c r="H144" t="str">
        <x:v>No</x:v>
      </x:c>
      <x:c r="I144" s="8" t="n">
        <x:v>-28.33</x:v>
      </x:c>
      <x:c r="J144" s="8" t="n">
        <x:v>3227.9</x:v>
      </x:c>
      <x:c r="K144" t="str">
        <x:v>2026-07</x:v>
      </x:c>
      <x:c r="L144" t="str"/>
    </x:row>
    <x:row r="145">
      <x:c r="A145" s="6" t="n">
        <x:v>46209</x:v>
      </x:c>
      <x:c r="B145" t="str">
        <x:v>TXN-000154</x:v>
      </x:c>
      <x:c r="C145" t="str">
        <x:v>POS PURCHASE ALDI #6875</x:v>
      </x:c>
      <x:c r="D145" t="str">
        <x:v>Aldi</x:v>
      </x:c>
      <x:c r="E145" t="str">
        <x:v>Groceries</x:v>
      </x:c>
      <x:c r="F145" t="str">
        <x:v>Expense</x:v>
      </x:c>
      <x:c r="G145" t="str">
        <x:v>Debit card</x:v>
      </x:c>
      <x:c r="H145" t="str">
        <x:v>No</x:v>
      </x:c>
      <x:c r="I145" s="8" t="n">
        <x:v>-84.39</x:v>
      </x:c>
      <x:c r="J145" s="8" t="n">
        <x:v>3143.51</x:v>
      </x:c>
      <x:c r="K145" t="str">
        <x:v>2026-07</x:v>
      </x:c>
      <x:c r="L145" t="str"/>
    </x:row>
    <x:row r="146">
      <x:c r="A146" s="6" t="n">
        <x:v>46210</x:v>
      </x:c>
      <x:c r="B146" t="str">
        <x:v>TXN-000140</x:v>
      </x:c>
      <x:c r="C146" t="str">
        <x:v>ALLSTATE AUTO INSURANCE</x:v>
      </x:c>
      <x:c r="D146" t="str">
        <x:v>Allstate</x:v>
      </x:c>
      <x:c r="E146" t="str">
        <x:v>Insurance</x:v>
      </x:c>
      <x:c r="F146" t="str">
        <x:v>Expense</x:v>
      </x:c>
      <x:c r="G146" t="str">
        <x:v>ACH</x:v>
      </x:c>
      <x:c r="H146" t="str">
        <x:v>Yes</x:v>
      </x:c>
      <x:c r="I146" s="8" t="n">
        <x:v>-142.6</x:v>
      </x:c>
      <x:c r="J146" s="8" t="n">
        <x:v>3000.91</x:v>
      </x:c>
      <x:c r="K146" t="str">
        <x:v>2026-07</x:v>
      </x:c>
      <x:c r="L146" t="str"/>
    </x:row>
    <x:row r="147">
      <x:c r="A147" s="6" t="n">
        <x:v>46210</x:v>
      </x:c>
      <x:c r="B147" t="str">
        <x:v>TXN-000172</x:v>
      </x:c>
      <x:c r="C147" t="str">
        <x:v>ONLINE PURCHASE TARGET</x:v>
      </x:c>
      <x:c r="D147" t="str">
        <x:v>Target</x:v>
      </x:c>
      <x:c r="E147" t="str">
        <x:v>Shopping</x:v>
      </x:c>
      <x:c r="F147" t="str">
        <x:v>Expense</x:v>
      </x:c>
      <x:c r="G147" t="str">
        <x:v>Card on file</x:v>
      </x:c>
      <x:c r="H147" t="str">
        <x:v>No</x:v>
      </x:c>
      <x:c r="I147" s="8" t="n">
        <x:v>-30.15</x:v>
      </x:c>
      <x:c r="J147" s="8" t="n">
        <x:v>2970.76</x:v>
      </x:c>
      <x:c r="K147" t="str">
        <x:v>2026-07</x:v>
      </x:c>
      <x:c r="L147" t="str"/>
    </x:row>
    <x:row r="148">
      <x:c r="A148" s="6" t="n">
        <x:v>46211</x:v>
      </x:c>
      <x:c r="B148" t="str">
        <x:v>TXN-000170</x:v>
      </x:c>
      <x:c r="C148" t="str">
        <x:v>PARKING / PUBLIC TRANSIT</x:v>
      </x:c>
      <x:c r="D148" t="str">
        <x:v>Local Transit</x:v>
      </x:c>
      <x:c r="E148" t="str">
        <x:v>Transportation</x:v>
      </x:c>
      <x:c r="F148" t="str">
        <x:v>Expense</x:v>
      </x:c>
      <x:c r="G148" t="str">
        <x:v>Debit card</x:v>
      </x:c>
      <x:c r="H148" t="str">
        <x:v>No</x:v>
      </x:c>
      <x:c r="I148" s="8" t="n">
        <x:v>-15.43</x:v>
      </x:c>
      <x:c r="J148" s="8" t="n">
        <x:v>2955.33</x:v>
      </x:c>
      <x:c r="K148" t="str">
        <x:v>2026-07</x:v>
      </x:c>
      <x:c r="L148" t="str"/>
    </x:row>
    <x:row r="149">
      <x:c r="A149" s="6" t="n">
        <x:v>46212</x:v>
      </x:c>
      <x:c r="B149" t="str">
        <x:v>TXN-000141</x:v>
      </x:c>
      <x:c r="C149" t="str">
        <x:v>CITY WATER SEWER</x:v>
      </x:c>
      <x:c r="D149" t="str">
        <x:v>City Utilities</x:v>
      </x:c>
      <x:c r="E149" t="str">
        <x:v>Utilities</x:v>
      </x:c>
      <x:c r="F149" t="str">
        <x:v>Expense</x:v>
      </x:c>
      <x:c r="G149" t="str">
        <x:v>ACH</x:v>
      </x:c>
      <x:c r="H149" t="str">
        <x:v>Yes</x:v>
      </x:c>
      <x:c r="I149" s="8" t="n">
        <x:v>-46.6</x:v>
      </x:c>
      <x:c r="J149" s="8" t="n">
        <x:v>2908.73</x:v>
      </x:c>
      <x:c r="K149" t="str">
        <x:v>2026-07</x:v>
      </x:c>
      <x:c r="L149" t="str"/>
    </x:row>
    <x:row r="150">
      <x:c r="A150" s="6" t="n">
        <x:v>46213</x:v>
      </x:c>
      <x:c r="B150" t="str">
        <x:v>TXN-000142</x:v>
      </x:c>
      <x:c r="C150" t="str">
        <x:v>PLANET FITNESS MEMBERSHIP</x:v>
      </x:c>
      <x:c r="D150" t="str">
        <x:v>Planet Fitness</x:v>
      </x:c>
      <x:c r="E150" t="str">
        <x:v>Fitness</x:v>
      </x:c>
      <x:c r="F150" t="str">
        <x:v>Expense</x:v>
      </x:c>
      <x:c r="G150" t="str">
        <x:v>Card on file</x:v>
      </x:c>
      <x:c r="H150" t="str">
        <x:v>Yes</x:v>
      </x:c>
      <x:c r="I150" s="8" t="n">
        <x:v>-24.99</x:v>
      </x:c>
      <x:c r="J150" s="8" t="n">
        <x:v>2883.74</x:v>
      </x:c>
      <x:c r="K150" t="str">
        <x:v>2026-07</x:v>
      </x:c>
      <x:c r="L150" t="str"/>
    </x:row>
    <x:row r="151">
      <x:c r="A151" s="6" t="n">
        <x:v>46213</x:v>
      </x:c>
      <x:c r="B151" t="str">
        <x:v>TXN-000155</x:v>
      </x:c>
      <x:c r="C151" t="str">
        <x:v>POS PURCHASE ALDI #3297</x:v>
      </x:c>
      <x:c r="D151" t="str">
        <x:v>Aldi</x:v>
      </x:c>
      <x:c r="E151" t="str">
        <x:v>Groceries</x:v>
      </x:c>
      <x:c r="F151" t="str">
        <x:v>Expense</x:v>
      </x:c>
      <x:c r="G151" t="str">
        <x:v>Debit card</x:v>
      </x:c>
      <x:c r="H151" t="str">
        <x:v>No</x:v>
      </x:c>
      <x:c r="I151" s="8" t="n">
        <x:v>-71.66</x:v>
      </x:c>
      <x:c r="J151" s="8" t="n">
        <x:v>2812.08</x:v>
      </x:c>
      <x:c r="K151" t="str">
        <x:v>2026-07</x:v>
      </x:c>
      <x:c r="L151" t="str"/>
    </x:row>
    <x:row r="152">
      <x:c r="A152" s="6" t="n">
        <x:v>46214</x:v>
      </x:c>
      <x:c r="B152" t="str">
        <x:v>TXN-000162</x:v>
      </x:c>
      <x:c r="C152" t="str">
        <x:v>PAY AT PUMP SHEETZ</x:v>
      </x:c>
      <x:c r="D152" t="str">
        <x:v>Sheetz</x:v>
      </x:c>
      <x:c r="E152" t="str">
        <x:v>Gas &amp; fuel</x:v>
      </x:c>
      <x:c r="F152" t="str">
        <x:v>Expense</x:v>
      </x:c>
      <x:c r="G152" t="str">
        <x:v>Debit card</x:v>
      </x:c>
      <x:c r="H152" t="str">
        <x:v>No</x:v>
      </x:c>
      <x:c r="I152" s="8" t="n">
        <x:v>-53.42</x:v>
      </x:c>
      <x:c r="J152" s="8" t="n">
        <x:v>2758.66</x:v>
      </x:c>
      <x:c r="K152" t="str">
        <x:v>2026-07</x:v>
      </x:c>
      <x:c r="L152" t="str"/>
    </x:row>
    <x:row r="153">
      <x:c r="A153" s="6" t="n">
        <x:v>46215</x:v>
      </x:c>
      <x:c r="B153" t="str">
        <x:v>TXN-000143</x:v>
      </x:c>
      <x:c r="C153" t="str">
        <x:v>NETFLIX STANDARD</x:v>
      </x:c>
      <x:c r="D153" t="str">
        <x:v>Netflix</x:v>
      </x:c>
      <x:c r="E153" t="str">
        <x:v>Subscriptions</x:v>
      </x:c>
      <x:c r="F153" t="str">
        <x:v>Expense</x:v>
      </x:c>
      <x:c r="G153" t="str">
        <x:v>Card on file</x:v>
      </x:c>
      <x:c r="H153" t="str">
        <x:v>Yes</x:v>
      </x:c>
      <x:c r="I153" s="8" t="n">
        <x:v>-17.99</x:v>
      </x:c>
      <x:c r="J153" s="8" t="n">
        <x:v>2740.67</x:v>
      </x:c>
      <x:c r="K153" t="str">
        <x:v>2026-07</x:v>
      </x:c>
      <x:c r="L153" t="str"/>
    </x:row>
    <x:row r="154">
      <x:c r="A154" s="6" t="n">
        <x:v>46215</x:v>
      </x:c>
      <x:c r="B154" t="str">
        <x:v>TXN-000166</x:v>
      </x:c>
      <x:c r="C154" t="str">
        <x:v>POS PURCHASE TACO BELL</x:v>
      </x:c>
      <x:c r="D154" t="str">
        <x:v>Taco Bell</x:v>
      </x:c>
      <x:c r="E154" t="str">
        <x:v>Dining out</x:v>
      </x:c>
      <x:c r="F154" t="str">
        <x:v>Expense</x:v>
      </x:c>
      <x:c r="G154" t="str">
        <x:v>Debit card</x:v>
      </x:c>
      <x:c r="H154" t="str">
        <x:v>No</x:v>
      </x:c>
      <x:c r="I154" s="8" t="n">
        <x:v>-29.7</x:v>
      </x:c>
      <x:c r="J154" s="8" t="n">
        <x:v>2710.97</x:v>
      </x:c>
      <x:c r="K154" t="str">
        <x:v>2026-07</x:v>
      </x:c>
      <x:c r="L154" t="str"/>
    </x:row>
    <x:row r="155">
      <x:c r="A155" s="6" t="n">
        <x:v>46216</x:v>
      </x:c>
      <x:c r="B155" t="str">
        <x:v>TXN-000174</x:v>
      </x:c>
      <x:c r="C155" t="str">
        <x:v>CARD PURCHASE BOWLING CENTER</x:v>
      </x:c>
      <x:c r="D155" t="str">
        <x:v>Bowling Center</x:v>
      </x:c>
      <x:c r="E155" t="str">
        <x:v>Entertainment</x:v>
      </x:c>
      <x:c r="F155" t="str">
        <x:v>Expense</x:v>
      </x:c>
      <x:c r="G155" t="str">
        <x:v>Debit card</x:v>
      </x:c>
      <x:c r="H155" t="str">
        <x:v>No</x:v>
      </x:c>
      <x:c r="I155" s="8" t="n">
        <x:v>-38.18</x:v>
      </x:c>
      <x:c r="J155" s="8" t="n">
        <x:v>2672.79</x:v>
      </x:c>
      <x:c r="K155" t="str">
        <x:v>2026-07</x:v>
      </x:c>
      <x:c r="L155" t="str"/>
    </x:row>
    <x:row r="156">
      <x:c r="A156" s="6" t="n">
        <x:v>46217</x:v>
      </x:c>
      <x:c r="B156" t="str">
        <x:v>TXN-000156</x:v>
      </x:c>
      <x:c r="C156" t="str">
        <x:v>POS PURCHASE ALDI #5722</x:v>
      </x:c>
      <x:c r="D156" t="str">
        <x:v>Aldi</x:v>
      </x:c>
      <x:c r="E156" t="str">
        <x:v>Groceries</x:v>
      </x:c>
      <x:c r="F156" t="str">
        <x:v>Expense</x:v>
      </x:c>
      <x:c r="G156" t="str">
        <x:v>Debit card</x:v>
      </x:c>
      <x:c r="H156" t="str">
        <x:v>No</x:v>
      </x:c>
      <x:c r="I156" s="8" t="n">
        <x:v>-76.76</x:v>
      </x:c>
      <x:c r="J156" s="8" t="n">
        <x:v>2596.03</x:v>
      </x:c>
      <x:c r="K156" t="str">
        <x:v>2026-07</x:v>
      </x:c>
      <x:c r="L156" t="str"/>
    </x:row>
    <x:row r="157">
      <x:c r="A157" s="6" t="n">
        <x:v>46218</x:v>
      </x:c>
      <x:c r="B157" t="str">
        <x:v>TXN-000149</x:v>
      </x:c>
      <x:c r="C157" t="str">
        <x:v>PAYROLL DIRECT DEP / BRIGHTWAVE SYSTEMS</x:v>
      </x:c>
      <x:c r="D157" t="str">
        <x:v>BrightWave Systems</x:v>
      </x:c>
      <x:c r="E157" t="str">
        <x:v>Paycheck</x:v>
      </x:c>
      <x:c r="F157" t="str">
        <x:v>Income</x:v>
      </x:c>
      <x:c r="G157" t="str">
        <x:v>Direct deposit</x:v>
      </x:c>
      <x:c r="H157" t="str">
        <x:v>Yes</x:v>
      </x:c>
      <x:c r="I157" s="8" t="n">
        <x:v>2518.74</x:v>
      </x:c>
      <x:c r="J157" s="8" t="n">
        <x:v>5114.77</x:v>
      </x:c>
      <x:c r="K157" t="str">
        <x:v>2026-07</x:v>
      </x:c>
      <x:c r="L157" t="str">
        <x:v>Net payroll; gross and withholdings in Profile</x:v>
      </x:c>
    </x:row>
    <x:row r="158">
      <x:c r="A158" s="6" t="n">
        <x:v>46218</x:v>
      </x:c>
      <x:c r="B158" t="str">
        <x:v>TXN-000150</x:v>
      </x:c>
      <x:c r="C158" t="str">
        <x:v>ONLINE TRANSFER TO SAVINGS ****7721</x:v>
      </x:c>
      <x:c r="D158" t="str">
        <x:v>Internal savings transfer</x:v>
      </x:c>
      <x:c r="E158" t="str">
        <x:v>Savings transfer</x:v>
      </x:c>
      <x:c r="F158" t="str">
        <x:v>Transfer</x:v>
      </x:c>
      <x:c r="G158" t="str">
        <x:v>Internal transfer</x:v>
      </x:c>
      <x:c r="H158" t="str">
        <x:v>Yes</x:v>
      </x:c>
      <x:c r="I158" s="8" t="n">
        <x:v>-350</x:v>
      </x:c>
      <x:c r="J158" s="8" t="n">
        <x:v>4764.77</x:v>
      </x:c>
      <x:c r="K158" t="str">
        <x:v>2026-07</x:v>
      </x:c>
      <x:c r="L158" t="str"/>
    </x:row>
    <x:row r="159">
      <x:c r="A159" s="6" t="n">
        <x:v>46218</x:v>
      </x:c>
      <x:c r="B159" t="str">
        <x:v>TXN-000178</x:v>
      </x:c>
      <x:c r="C159" t="str">
        <x:v>SUMMER FESTIVAL TICKETS</x:v>
      </x:c>
      <x:c r="D159" t="str">
        <x:v>Eventbrite</x:v>
      </x:c>
      <x:c r="E159" t="str">
        <x:v>Entertainment</x:v>
      </x:c>
      <x:c r="F159" t="str">
        <x:v>Expense</x:v>
      </x:c>
      <x:c r="G159" t="str">
        <x:v>Debit card</x:v>
      </x:c>
      <x:c r="H159" t="str">
        <x:v>No</x:v>
      </x:c>
      <x:c r="I159" s="8" t="n">
        <x:v>-89</x:v>
      </x:c>
      <x:c r="J159" s="8" t="n">
        <x:v>4675.77</x:v>
      </x:c>
      <x:c r="K159" t="str">
        <x:v>2026-07</x:v>
      </x:c>
      <x:c r="L159" t="str"/>
    </x:row>
    <x:row r="160">
      <x:c r="A160" s="6" t="n">
        <x:v>46219</x:v>
      </x:c>
      <x:c r="B160" t="str">
        <x:v>TXN-000144</x:v>
      </x:c>
      <x:c r="C160" t="str">
        <x:v>TOYOTA FINANCIAL LOAN PAYMENT</x:v>
      </x:c>
      <x:c r="D160" t="str">
        <x:v>Toyota Financial</x:v>
      </x:c>
      <x:c r="E160" t="str">
        <x:v>Auto loan</x:v>
      </x:c>
      <x:c r="F160" t="str">
        <x:v>Expense</x:v>
      </x:c>
      <x:c r="G160" t="str">
        <x:v>ACH</x:v>
      </x:c>
      <x:c r="H160" t="str">
        <x:v>Yes</x:v>
      </x:c>
      <x:c r="I160" s="8" t="n">
        <x:v>-318.75</x:v>
      </x:c>
      <x:c r="J160" s="8" t="n">
        <x:v>4357.02</x:v>
      </x:c>
      <x:c r="K160" t="str">
        <x:v>2026-07</x:v>
      </x:c>
      <x:c r="L160" t="str"/>
    </x:row>
    <x:row r="161">
      <x:c r="A161" s="6" t="n">
        <x:v>46221</x:v>
      </x:c>
      <x:c r="B161" t="str">
        <x:v>TXN-000157</x:v>
      </x:c>
      <x:c r="C161" t="str">
        <x:v>POS PURCHASE ALDI #2895</x:v>
      </x:c>
      <x:c r="D161" t="str">
        <x:v>Aldi</x:v>
      </x:c>
      <x:c r="E161" t="str">
        <x:v>Groceries</x:v>
      </x:c>
      <x:c r="F161" t="str">
        <x:v>Expense</x:v>
      </x:c>
      <x:c r="G161" t="str">
        <x:v>Debit card</x:v>
      </x:c>
      <x:c r="H161" t="str">
        <x:v>No</x:v>
      </x:c>
      <x:c r="I161" s="8" t="n">
        <x:v>-32.02</x:v>
      </x:c>
      <x:c r="J161" s="8" t="n">
        <x:v>4325</x:v>
      </x:c>
      <x:c r="K161" t="str">
        <x:v>2026-07</x:v>
      </x:c>
      <x:c r="L161" t="str"/>
    </x:row>
    <x:row r="162">
      <x:c r="A162" s="6" t="n">
        <x:v>46221</x:v>
      </x:c>
      <x:c r="B162" t="str">
        <x:v>TXN-000167</x:v>
      </x:c>
      <x:c r="C162" t="str">
        <x:v>POS PURCHASE CHIPOTLE</x:v>
      </x:c>
      <x:c r="D162" t="str">
        <x:v>Chipotle</x:v>
      </x:c>
      <x:c r="E162" t="str">
        <x:v>Dining out</x:v>
      </x:c>
      <x:c r="F162" t="str">
        <x:v>Expense</x:v>
      </x:c>
      <x:c r="G162" t="str">
        <x:v>Debit card</x:v>
      </x:c>
      <x:c r="H162" t="str">
        <x:v>No</x:v>
      </x:c>
      <x:c r="I162" s="8" t="n">
        <x:v>-32.39</x:v>
      </x:c>
      <x:c r="J162" s="8" t="n">
        <x:v>4292.61</x:v>
      </x:c>
      <x:c r="K162" t="str">
        <x:v>2026-07</x:v>
      </x:c>
      <x:c r="L162" t="str"/>
    </x:row>
    <x:row r="163">
      <x:c r="A163" s="6" t="n">
        <x:v>46222</x:v>
      </x:c>
      <x:c r="B163" t="str">
        <x:v>TXN-000145</x:v>
      </x:c>
      <x:c r="C163" t="str">
        <x:v>APPLE ICLOUD STORAGE</x:v>
      </x:c>
      <x:c r="D163" t="str">
        <x:v>Apple</x:v>
      </x:c>
      <x:c r="E163" t="str">
        <x:v>Subscriptions</x:v>
      </x:c>
      <x:c r="F163" t="str">
        <x:v>Expense</x:v>
      </x:c>
      <x:c r="G163" t="str">
        <x:v>Card on file</x:v>
      </x:c>
      <x:c r="H163" t="str">
        <x:v>Yes</x:v>
      </x:c>
      <x:c r="I163" s="8" t="n">
        <x:v>-2.99</x:v>
      </x:c>
      <x:c r="J163" s="8" t="n">
        <x:v>4289.62</x:v>
      </x:c>
      <x:c r="K163" t="str">
        <x:v>2026-07</x:v>
      </x:c>
      <x:c r="L163" t="str"/>
    </x:row>
    <x:row r="164">
      <x:c r="A164" s="6" t="n">
        <x:v>46222</x:v>
      </x:c>
      <x:c r="B164" t="str">
        <x:v>TXN-000163</x:v>
      </x:c>
      <x:c r="C164" t="str">
        <x:v>PAY AT PUMP SUNOCO</x:v>
      </x:c>
      <x:c r="D164" t="str">
        <x:v>Sunoco</x:v>
      </x:c>
      <x:c r="E164" t="str">
        <x:v>Gas &amp; fuel</x:v>
      </x:c>
      <x:c r="F164" t="str">
        <x:v>Expense</x:v>
      </x:c>
      <x:c r="G164" t="str">
        <x:v>Debit card</x:v>
      </x:c>
      <x:c r="H164" t="str">
        <x:v>No</x:v>
      </x:c>
      <x:c r="I164" s="8" t="n">
        <x:v>-31.48</x:v>
      </x:c>
      <x:c r="J164" s="8" t="n">
        <x:v>4258.14</x:v>
      </x:c>
      <x:c r="K164" t="str">
        <x:v>2026-07</x:v>
      </x:c>
      <x:c r="L164" t="str"/>
    </x:row>
    <x:row r="165">
      <x:c r="A165" s="6" t="n">
        <x:v>46223</x:v>
      </x:c>
      <x:c r="B165" t="str">
        <x:v>TXN-000146</x:v>
      </x:c>
      <x:c r="C165" t="str">
        <x:v>STATE FARM RENTERS INSURANCE</x:v>
      </x:c>
      <x:c r="D165" t="str">
        <x:v>State Farm</x:v>
      </x:c>
      <x:c r="E165" t="str">
        <x:v>Insurance</x:v>
      </x:c>
      <x:c r="F165" t="str">
        <x:v>Expense</x:v>
      </x:c>
      <x:c r="G165" t="str">
        <x:v>ACH</x:v>
      </x:c>
      <x:c r="H165" t="str">
        <x:v>Yes</x:v>
      </x:c>
      <x:c r="I165" s="8" t="n">
        <x:v>-18.25</x:v>
      </x:c>
      <x:c r="J165" s="8" t="n">
        <x:v>4239.89</x:v>
      </x:c>
      <x:c r="K165" t="str">
        <x:v>2026-07</x:v>
      </x:c>
      <x:c r="L165" t="str"/>
    </x:row>
    <x:row r="166">
      <x:c r="A166" s="6" t="n">
        <x:v>46223</x:v>
      </x:c>
      <x:c r="B166" t="str">
        <x:v>TXN-000176</x:v>
      </x:c>
      <x:c r="C166" t="str">
        <x:v>CVS PHARMACY PURCHASE</x:v>
      </x:c>
      <x:c r="D166" t="str">
        <x:v>CVS</x:v>
      </x:c>
      <x:c r="E166" t="str">
        <x:v>Health &amp; pharmacy</x:v>
      </x:c>
      <x:c r="F166" t="str">
        <x:v>Expense</x:v>
      </x:c>
      <x:c r="G166" t="str">
        <x:v>Debit card</x:v>
      </x:c>
      <x:c r="H166" t="str">
        <x:v>No</x:v>
      </x:c>
      <x:c r="I166" s="8" t="n">
        <x:v>-28.88</x:v>
      </x:c>
      <x:c r="J166" s="8" t="n">
        <x:v>4211.01</x:v>
      </x:c>
      <x:c r="K166" t="str">
        <x:v>2026-07</x:v>
      </x:c>
      <x:c r="L166" t="str"/>
    </x:row>
    <x:row r="167">
      <x:c r="A167" s="6" t="n">
        <x:v>46224</x:v>
      </x:c>
      <x:c r="B167" t="str">
        <x:v>TXN-000147</x:v>
      </x:c>
      <x:c r="C167" t="str">
        <x:v>PAYMENT STUDENT LOAN SERVICER</x:v>
      </x:c>
      <x:c r="D167" t="str">
        <x:v>Federal Student Aid Servicer</x:v>
      </x:c>
      <x:c r="E167" t="str">
        <x:v>Student loans</x:v>
      </x:c>
      <x:c r="F167" t="str">
        <x:v>Expense</x:v>
      </x:c>
      <x:c r="G167" t="str">
        <x:v>ACH</x:v>
      </x:c>
      <x:c r="H167" t="str">
        <x:v>Yes</x:v>
      </x:c>
      <x:c r="I167" s="8" t="n">
        <x:v>-185</x:v>
      </x:c>
      <x:c r="J167" s="8" t="n">
        <x:v>4026.01</x:v>
      </x:c>
      <x:c r="K167" t="str">
        <x:v>2026-07</x:v>
      </x:c>
      <x:c r="L167" t="str"/>
    </x:row>
    <x:row r="168">
      <x:c r="A168" s="6" t="n">
        <x:v>46225</x:v>
      </x:c>
      <x:c r="B168" t="str">
        <x:v>TXN-000158</x:v>
      </x:c>
      <x:c r="C168" t="str">
        <x:v>POS PURCHASE ALDI #4616</x:v>
      </x:c>
      <x:c r="D168" t="str">
        <x:v>Aldi</x:v>
      </x:c>
      <x:c r="E168" t="str">
        <x:v>Groceries</x:v>
      </x:c>
      <x:c r="F168" t="str">
        <x:v>Expense</x:v>
      </x:c>
      <x:c r="G168" t="str">
        <x:v>Debit card</x:v>
      </x:c>
      <x:c r="H168" t="str">
        <x:v>No</x:v>
      </x:c>
      <x:c r="I168" s="8" t="n">
        <x:v>-72.86</x:v>
      </x:c>
      <x:c r="J168" s="8" t="n">
        <x:v>3953.15</x:v>
      </x:c>
      <x:c r="K168" t="str">
        <x:v>2026-07</x:v>
      </x:c>
      <x:c r="L168" t="str"/>
    </x:row>
    <x:row r="169">
      <x:c r="A169" s="6" t="n">
        <x:v>46225</x:v>
      </x:c>
      <x:c r="B169" t="str">
        <x:v>TXN-000171</x:v>
      </x:c>
      <x:c r="C169" t="str">
        <x:v>PARKING / PUBLIC TRANSIT</x:v>
      </x:c>
      <x:c r="D169" t="str">
        <x:v>Local Transit</x:v>
      </x:c>
      <x:c r="E169" t="str">
        <x:v>Transportation</x:v>
      </x:c>
      <x:c r="F169" t="str">
        <x:v>Expense</x:v>
      </x:c>
      <x:c r="G169" t="str">
        <x:v>Debit card</x:v>
      </x:c>
      <x:c r="H169" t="str">
        <x:v>No</x:v>
      </x:c>
      <x:c r="I169" s="8" t="n">
        <x:v>-18.79</x:v>
      </x:c>
      <x:c r="J169" s="8" t="n">
        <x:v>3934.36</x:v>
      </x:c>
      <x:c r="K169" t="str">
        <x:v>2026-07</x:v>
      </x:c>
      <x:c r="L169" t="str"/>
    </x:row>
    <x:row r="170">
      <x:c r="A170" s="6" t="n">
        <x:v>46226</x:v>
      </x:c>
      <x:c r="B170" t="str">
        <x:v>TXN-000179</x:v>
      </x:c>
      <x:c r="C170" t="str">
        <x:v>TARGET RETURN CREDIT</x:v>
      </x:c>
      <x:c r="D170" t="str">
        <x:v>Target</x:v>
      </x:c>
      <x:c r="E170" t="str">
        <x:v>Shopping</x:v>
      </x:c>
      <x:c r="F170" t="str">
        <x:v>Refund</x:v>
      </x:c>
      <x:c r="G170" t="str">
        <x:v>Debit card</x:v>
      </x:c>
      <x:c r="H170" t="str">
        <x:v>No</x:v>
      </x:c>
      <x:c r="I170" s="8" t="n">
        <x:v>22.47</x:v>
      </x:c>
      <x:c r="J170" s="8" t="n">
        <x:v>3956.83</x:v>
      </x:c>
      <x:c r="K170" t="str">
        <x:v>2026-07</x:v>
      </x:c>
      <x:c r="L170" t="str"/>
    </x:row>
    <x:row r="171">
      <x:c r="A171" s="6" t="n">
        <x:v>46226</x:v>
      </x:c>
      <x:c r="B171" t="str">
        <x:v>TXN-000168</x:v>
      </x:c>
      <x:c r="C171" t="str">
        <x:v>POS PURCHASE DOMINOS PIZZA</x:v>
      </x:c>
      <x:c r="D171" t="str">
        <x:v>Dominos Pizza</x:v>
      </x:c>
      <x:c r="E171" t="str">
        <x:v>Dining out</x:v>
      </x:c>
      <x:c r="F171" t="str">
        <x:v>Expense</x:v>
      </x:c>
      <x:c r="G171" t="str">
        <x:v>Debit card</x:v>
      </x:c>
      <x:c r="H171" t="str">
        <x:v>No</x:v>
      </x:c>
      <x:c r="I171" s="8" t="n">
        <x:v>-35.46</x:v>
      </x:c>
      <x:c r="J171" s="8" t="n">
        <x:v>3921.37</x:v>
      </x:c>
      <x:c r="K171" t="str">
        <x:v>2026-07</x:v>
      </x:c>
      <x:c r="L171" t="str"/>
    </x:row>
    <x:row r="172">
      <x:c r="A172" s="6" t="n">
        <x:v>46227</x:v>
      </x:c>
      <x:c r="B172" t="str">
        <x:v>TXN-000173</x:v>
      </x:c>
      <x:c r="C172" t="str">
        <x:v>ONLINE PURCHASE HOME DEPOT</x:v>
      </x:c>
      <x:c r="D172" t="str">
        <x:v>Home Depot</x:v>
      </x:c>
      <x:c r="E172" t="str">
        <x:v>Shopping</x:v>
      </x:c>
      <x:c r="F172" t="str">
        <x:v>Expense</x:v>
      </x:c>
      <x:c r="G172" t="str">
        <x:v>Card on file</x:v>
      </x:c>
      <x:c r="H172" t="str">
        <x:v>No</x:v>
      </x:c>
      <x:c r="I172" s="8" t="n">
        <x:v>-25.99</x:v>
      </x:c>
      <x:c r="J172" s="8" t="n">
        <x:v>3895.38</x:v>
      </x:c>
      <x:c r="K172" t="str">
        <x:v>2026-07</x:v>
      </x:c>
      <x:c r="L172" t="str"/>
    </x:row>
    <x:row r="173">
      <x:c r="A173" s="6" t="n">
        <x:v>46228</x:v>
      </x:c>
      <x:c r="B173" t="str">
        <x:v>TXN-000148</x:v>
      </x:c>
      <x:c r="C173" t="str">
        <x:v>AMAZON PRIME MEMBERSHIP</x:v>
      </x:c>
      <x:c r="D173" t="str">
        <x:v>Amazon</x:v>
      </x:c>
      <x:c r="E173" t="str">
        <x:v>Subscriptions</x:v>
      </x:c>
      <x:c r="F173" t="str">
        <x:v>Expense</x:v>
      </x:c>
      <x:c r="G173" t="str">
        <x:v>Card on file</x:v>
      </x:c>
      <x:c r="H173" t="str">
        <x:v>Yes</x:v>
      </x:c>
      <x:c r="I173" s="8" t="n">
        <x:v>-14.99</x:v>
      </x:c>
      <x:c r="J173" s="8" t="n">
        <x:v>3880.39</x:v>
      </x:c>
      <x:c r="K173" t="str">
        <x:v>2026-07</x:v>
      </x:c>
      <x:c r="L173" t="str"/>
    </x:row>
    <x:row r="174">
      <x:c r="A174" s="6" t="n">
        <x:v>46229</x:v>
      </x:c>
      <x:c r="B174" t="str">
        <x:v>TXN-000159</x:v>
      </x:c>
      <x:c r="C174" t="str">
        <x:v>POS PURCHASE ALDI #1683</x:v>
      </x:c>
      <x:c r="D174" t="str">
        <x:v>Aldi</x:v>
      </x:c>
      <x:c r="E174" t="str">
        <x:v>Groceries</x:v>
      </x:c>
      <x:c r="F174" t="str">
        <x:v>Expense</x:v>
      </x:c>
      <x:c r="G174" t="str">
        <x:v>Debit card</x:v>
      </x:c>
      <x:c r="H174" t="str">
        <x:v>No</x:v>
      </x:c>
      <x:c r="I174" s="8" t="n">
        <x:v>-30.14</x:v>
      </x:c>
      <x:c r="J174" s="8" t="n">
        <x:v>3850.25</x:v>
      </x:c>
      <x:c r="K174" t="str">
        <x:v>2026-07</x:v>
      </x:c>
      <x:c r="L174" t="str"/>
    </x:row>
    <x:row r="175">
      <x:c r="A175" s="6" t="n">
        <x:v>46230</x:v>
      </x:c>
      <x:c r="B175" t="str">
        <x:v>TXN-000164</x:v>
      </x:c>
      <x:c r="C175" t="str">
        <x:v>PAY AT PUMP SHEETZ</x:v>
      </x:c>
      <x:c r="D175" t="str">
        <x:v>Sheetz</x:v>
      </x:c>
      <x:c r="E175" t="str">
        <x:v>Gas &amp; fuel</x:v>
      </x:c>
      <x:c r="F175" t="str">
        <x:v>Expense</x:v>
      </x:c>
      <x:c r="G175" t="str">
        <x:v>Debit card</x:v>
      </x:c>
      <x:c r="H175" t="str">
        <x:v>No</x:v>
      </x:c>
      <x:c r="I175" s="8" t="n">
        <x:v>-29.19</x:v>
      </x:c>
      <x:c r="J175" s="8" t="n">
        <x:v>3821.06</x:v>
      </x:c>
      <x:c r="K175" t="str">
        <x:v>2026-07</x:v>
      </x:c>
      <x:c r="L175" t="str"/>
    </x:row>
    <x:row r="176">
      <x:c r="A176" s="6" t="n">
        <x:v>46230</x:v>
      </x:c>
      <x:c r="B176" t="str">
        <x:v>TXN-000175</x:v>
      </x:c>
      <x:c r="C176" t="str">
        <x:v>CARD PURCHASE LIVE MUSIC VENUE</x:v>
      </x:c>
      <x:c r="D176" t="str">
        <x:v>Live Music Venue</x:v>
      </x:c>
      <x:c r="E176" t="str">
        <x:v>Entertainment</x:v>
      </x:c>
      <x:c r="F176" t="str">
        <x:v>Expense</x:v>
      </x:c>
      <x:c r="G176" t="str">
        <x:v>Debit card</x:v>
      </x:c>
      <x:c r="H176" t="str">
        <x:v>No</x:v>
      </x:c>
      <x:c r="I176" s="8" t="n">
        <x:v>-42.12</x:v>
      </x:c>
      <x:c r="J176" s="8" t="n">
        <x:v>3778.94</x:v>
      </x:c>
      <x:c r="K176" t="str">
        <x:v>2026-07</x:v>
      </x:c>
      <x:c r="L176" t="str"/>
    </x:row>
    <x:row r="177">
      <x:c r="A177" s="6" t="n">
        <x:v>46231</x:v>
      </x:c>
      <x:c r="B177" t="str">
        <x:v>TXN-000169</x:v>
      </x:c>
      <x:c r="C177" t="str">
        <x:v>POS PURCHASE LOCAL THAI KITCHEN</x:v>
      </x:c>
      <x:c r="D177" t="str">
        <x:v>Local Thai Kitchen</x:v>
      </x:c>
      <x:c r="E177" t="str">
        <x:v>Dining out</x:v>
      </x:c>
      <x:c r="F177" t="str">
        <x:v>Expense</x:v>
      </x:c>
      <x:c r="G177" t="str">
        <x:v>Debit card</x:v>
      </x:c>
      <x:c r="H177" t="str">
        <x:v>No</x:v>
      </x:c>
      <x:c r="I177" s="8" t="n">
        <x:v>-14.88</x:v>
      </x:c>
      <x:c r="J177" s="8" t="n">
        <x:v>3764.06</x:v>
      </x:c>
      <x:c r="K177" t="str">
        <x:v>2026-07</x:v>
      </x:c>
      <x:c r="L177" t="str"/>
    </x:row>
    <x:row r="178">
      <x:c r="A178" s="6" t="n">
        <x:v>46232</x:v>
      </x:c>
      <x:c r="B178" t="str">
        <x:v>TXN-000160</x:v>
      </x:c>
      <x:c r="C178" t="str">
        <x:v>POS PURCHASE TRADER JOE'S #9625</x:v>
      </x:c>
      <x:c r="D178" t="str">
        <x:v>Trader Joe's</x:v>
      </x:c>
      <x:c r="E178" t="str">
        <x:v>Groceries</x:v>
      </x:c>
      <x:c r="F178" t="str">
        <x:v>Expense</x:v>
      </x:c>
      <x:c r="G178" t="str">
        <x:v>Debit card</x:v>
      </x:c>
      <x:c r="H178" t="str">
        <x:v>No</x:v>
      </x:c>
      <x:c r="I178" s="8" t="n">
        <x:v>-79.91</x:v>
      </x:c>
      <x:c r="J178" s="8" t="n">
        <x:v>3684.15</x:v>
      </x:c>
      <x:c r="K178" t="str">
        <x:v>2026-07</x:v>
      </x:c>
      <x:c r="L178" t="str"/>
    </x:row>
    <x:row r="179">
      <x:c r="A179" s="6" t="n">
        <x:v>46234</x:v>
      </x:c>
      <x:c r="B179" t="str">
        <x:v>TXN-000151</x:v>
      </x:c>
      <x:c r="C179" t="str">
        <x:v>PAYROLL DIRECT DEP / BRIGHTWAVE SYSTEMS</x:v>
      </x:c>
      <x:c r="D179" t="str">
        <x:v>BrightWave Systems</x:v>
      </x:c>
      <x:c r="E179" t="str">
        <x:v>Paycheck</x:v>
      </x:c>
      <x:c r="F179" t="str">
        <x:v>Income</x:v>
      </x:c>
      <x:c r="G179" t="str">
        <x:v>Direct deposit</x:v>
      </x:c>
      <x:c r="H179" t="str">
        <x:v>Yes</x:v>
      </x:c>
      <x:c r="I179" s="8" t="n">
        <x:v>2484.69</x:v>
      </x:c>
      <x:c r="J179" s="8" t="n">
        <x:v>6168.84</x:v>
      </x:c>
      <x:c r="K179" t="str">
        <x:v>2026-07</x:v>
      </x:c>
      <x:c r="L179" t="str">
        <x:v>Net payroll; gross and withholdings in Profile</x:v>
      </x:c>
    </x:row>
    <x:row r="180">
      <x:c r="A180" s="6" t="n">
        <x:v>46234</x:v>
      </x:c>
      <x:c r="B180" t="str">
        <x:v>TXN-000152</x:v>
      </x:c>
      <x:c r="C180" t="str">
        <x:v>ONLINE TRANSFER TO SAVINGS ****7721</x:v>
      </x:c>
      <x:c r="D180" t="str">
        <x:v>Internal savings transfer</x:v>
      </x:c>
      <x:c r="E180" t="str">
        <x:v>Savings transfer</x:v>
      </x:c>
      <x:c r="F180" t="str">
        <x:v>Transfer</x:v>
      </x:c>
      <x:c r="G180" t="str">
        <x:v>Internal transfer</x:v>
      </x:c>
      <x:c r="H180" t="str">
        <x:v>Yes</x:v>
      </x:c>
      <x:c r="I180" s="8" t="n">
        <x:v>-300</x:v>
      </x:c>
      <x:c r="J180" s="8" t="n">
        <x:v>5868.84</x:v>
      </x:c>
      <x:c r="K180" t="str">
        <x:v>2026-07</x:v>
      </x:c>
      <x:c r="L180" t="str"/>
    </x:row>
    <x:row r="181">
      <x:c r="A181" s="6" t="n">
        <x:v>46235</x:v>
      </x:c>
      <x:c r="B181" t="str">
        <x:v>TXN-000180</x:v>
      </x:c>
      <x:c r="C181" t="str">
        <x:v>RENT PMT GREENWOOD APARTMENTS</x:v>
      </x:c>
      <x:c r="D181" t="str">
        <x:v>Greenwood Apartments</x:v>
      </x:c>
      <x:c r="E181" t="str">
        <x:v>Housing</x:v>
      </x:c>
      <x:c r="F181" t="str">
        <x:v>Expense</x:v>
      </x:c>
      <x:c r="G181" t="str">
        <x:v>ACH</x:v>
      </x:c>
      <x:c r="H181" t="str">
        <x:v>Yes</x:v>
      </x:c>
      <x:c r="I181" s="8" t="n">
        <x:v>-1475</x:v>
      </x:c>
      <x:c r="J181" s="8" t="n">
        <x:v>4393.84</x:v>
      </x:c>
      <x:c r="K181" t="str">
        <x:v>2026-08</x:v>
      </x:c>
      <x:c r="L181" t="str"/>
    </x:row>
    <x:row r="182">
      <x:c r="A182" s="6" t="n">
        <x:v>46236</x:v>
      </x:c>
      <x:c r="B182" t="str">
        <x:v>TXN-000181</x:v>
      </x:c>
      <x:c r="C182" t="str">
        <x:v>PECO ENERGY AUTOPAY</x:v>
      </x:c>
      <x:c r="D182" t="str">
        <x:v>PECO Energy</x:v>
      </x:c>
      <x:c r="E182" t="str">
        <x:v>Utilities</x:v>
      </x:c>
      <x:c r="F182" t="str">
        <x:v>Expense</x:v>
      </x:c>
      <x:c r="G182" t="str">
        <x:v>ACH</x:v>
      </x:c>
      <x:c r="H182" t="str">
        <x:v>Yes</x:v>
      </x:c>
      <x:c r="I182" s="8" t="n">
        <x:v>-126.25</x:v>
      </x:c>
      <x:c r="J182" s="8" t="n">
        <x:v>4267.59</x:v>
      </x:c>
      <x:c r="K182" t="str">
        <x:v>2026-08</x:v>
      </x:c>
      <x:c r="L182" t="str"/>
    </x:row>
    <x:row r="183">
      <x:c r="A183" s="6" t="n">
        <x:v>46236</x:v>
      </x:c>
      <x:c r="B183" t="str">
        <x:v>TXN-000198</x:v>
      </x:c>
      <x:c r="C183" t="str">
        <x:v>POS PURCHASE GIANT FOOD #2854</x:v>
      </x:c>
      <x:c r="D183" t="str">
        <x:v>Giant Food</x:v>
      </x:c>
      <x:c r="E183" t="str">
        <x:v>Groceries</x:v>
      </x:c>
      <x:c r="F183" t="str">
        <x:v>Expense</x:v>
      </x:c>
      <x:c r="G183" t="str">
        <x:v>Debit card</x:v>
      </x:c>
      <x:c r="H183" t="str">
        <x:v>No</x:v>
      </x:c>
      <x:c r="I183" s="8" t="n">
        <x:v>-34.33</x:v>
      </x:c>
      <x:c r="J183" s="8" t="n">
        <x:v>4233.26</x:v>
      </x:c>
      <x:c r="K183" t="str">
        <x:v>2026-08</x:v>
      </x:c>
      <x:c r="L183" t="str"/>
    </x:row>
    <x:row r="184">
      <x:c r="A184" s="6" t="n">
        <x:v>46237</x:v>
      </x:c>
      <x:c r="B184" t="str">
        <x:v>TXN-000182</x:v>
      </x:c>
      <x:c r="C184" t="str">
        <x:v>COMCAST INTERNET AUTOPAY</x:v>
      </x:c>
      <x:c r="D184" t="str">
        <x:v>Xfinity</x:v>
      </x:c>
      <x:c r="E184" t="str">
        <x:v>Internet</x:v>
      </x:c>
      <x:c r="F184" t="str">
        <x:v>Expense</x:v>
      </x:c>
      <x:c r="G184" t="str">
        <x:v>ACH</x:v>
      </x:c>
      <x:c r="H184" t="str">
        <x:v>Yes</x:v>
      </x:c>
      <x:c r="I184" s="8" t="n">
        <x:v>-65</x:v>
      </x:c>
      <x:c r="J184" s="8" t="n">
        <x:v>4168.26</x:v>
      </x:c>
      <x:c r="K184" t="str">
        <x:v>2026-08</x:v>
      </x:c>
      <x:c r="L184" t="str"/>
    </x:row>
    <x:row r="185">
      <x:c r="A185" s="6" t="n">
        <x:v>46237</x:v>
      </x:c>
      <x:c r="B185" t="str">
        <x:v>TXN-000206</x:v>
      </x:c>
      <x:c r="C185" t="str">
        <x:v>PAY AT PUMP SHELL</x:v>
      </x:c>
      <x:c r="D185" t="str">
        <x:v>Shell</x:v>
      </x:c>
      <x:c r="E185" t="str">
        <x:v>Gas &amp; fuel</x:v>
      </x:c>
      <x:c r="F185" t="str">
        <x:v>Expense</x:v>
      </x:c>
      <x:c r="G185" t="str">
        <x:v>Debit card</x:v>
      </x:c>
      <x:c r="H185" t="str">
        <x:v>No</x:v>
      </x:c>
      <x:c r="I185" s="8" t="n">
        <x:v>-38.12</x:v>
      </x:c>
      <x:c r="J185" s="8" t="n">
        <x:v>4130.14</x:v>
      </x:c>
      <x:c r="K185" t="str">
        <x:v>2026-08</x:v>
      </x:c>
      <x:c r="L185" t="str"/>
    </x:row>
    <x:row r="186">
      <x:c r="A186" s="6" t="n">
        <x:v>46238</x:v>
      </x:c>
      <x:c r="B186" t="str">
        <x:v>TXN-000183</x:v>
      </x:c>
      <x:c r="C186" t="str">
        <x:v>SPOTIFY PREMIUM</x:v>
      </x:c>
      <x:c r="D186" t="str">
        <x:v>Spotify</x:v>
      </x:c>
      <x:c r="E186" t="str">
        <x:v>Subscriptions</x:v>
      </x:c>
      <x:c r="F186" t="str">
        <x:v>Expense</x:v>
      </x:c>
      <x:c r="G186" t="str">
        <x:v>Card on file</x:v>
      </x:c>
      <x:c r="H186" t="str">
        <x:v>Yes</x:v>
      </x:c>
      <x:c r="I186" s="8" t="n">
        <x:v>-11.99</x:v>
      </x:c>
      <x:c r="J186" s="8" t="n">
        <x:v>4118.15</x:v>
      </x:c>
      <x:c r="K186" t="str">
        <x:v>2026-08</x:v>
      </x:c>
      <x:c r="L186" t="str"/>
    </x:row>
    <x:row r="187">
      <x:c r="A187" s="6" t="n">
        <x:v>46239</x:v>
      </x:c>
      <x:c r="B187" t="str">
        <x:v>TXN-000184</x:v>
      </x:c>
      <x:c r="C187" t="str">
        <x:v>VERIZON WIRELESS</x:v>
      </x:c>
      <x:c r="D187" t="str">
        <x:v>Verizon</x:v>
      </x:c>
      <x:c r="E187" t="str">
        <x:v>Phone</x:v>
      </x:c>
      <x:c r="F187" t="str">
        <x:v>Expense</x:v>
      </x:c>
      <x:c r="G187" t="str">
        <x:v>ACH</x:v>
      </x:c>
      <x:c r="H187" t="str">
        <x:v>Yes</x:v>
      </x:c>
      <x:c r="I187" s="8" t="n">
        <x:v>-62</x:v>
      </x:c>
      <x:c r="J187" s="8" t="n">
        <x:v>4056.15</x:v>
      </x:c>
      <x:c r="K187" t="str">
        <x:v>2026-08</x:v>
      </x:c>
      <x:c r="L187" t="str"/>
    </x:row>
    <x:row r="188">
      <x:c r="A188" s="6" t="n">
        <x:v>46239</x:v>
      </x:c>
      <x:c r="B188" t="str">
        <x:v>TXN-000210</x:v>
      </x:c>
      <x:c r="C188" t="str">
        <x:v>POS PURCHASE DOMINOS PIZZA</x:v>
      </x:c>
      <x:c r="D188" t="str">
        <x:v>Dominos Pizza</x:v>
      </x:c>
      <x:c r="E188" t="str">
        <x:v>Dining out</x:v>
      </x:c>
      <x:c r="F188" t="str">
        <x:v>Expense</x:v>
      </x:c>
      <x:c r="G188" t="str">
        <x:v>Debit card</x:v>
      </x:c>
      <x:c r="H188" t="str">
        <x:v>No</x:v>
      </x:c>
      <x:c r="I188" s="8" t="n">
        <x:v>-20.89</x:v>
      </x:c>
      <x:c r="J188" s="8" t="n">
        <x:v>4035.26</x:v>
      </x:c>
      <x:c r="K188" t="str">
        <x:v>2026-08</x:v>
      </x:c>
      <x:c r="L188" t="str"/>
    </x:row>
    <x:row r="189">
      <x:c r="A189" s="6" t="n">
        <x:v>46240</x:v>
      </x:c>
      <x:c r="B189" t="str">
        <x:v>TXN-000199</x:v>
      </x:c>
      <x:c r="C189" t="str">
        <x:v>POS PURCHASE GIANT FOOD #3913</x:v>
      </x:c>
      <x:c r="D189" t="str">
        <x:v>Giant Food</x:v>
      </x:c>
      <x:c r="E189" t="str">
        <x:v>Groceries</x:v>
      </x:c>
      <x:c r="F189" t="str">
        <x:v>Expense</x:v>
      </x:c>
      <x:c r="G189" t="str">
        <x:v>Debit card</x:v>
      </x:c>
      <x:c r="H189" t="str">
        <x:v>No</x:v>
      </x:c>
      <x:c r="I189" s="8" t="n">
        <x:v>-74.94</x:v>
      </x:c>
      <x:c r="J189" s="8" t="n">
        <x:v>3960.32</x:v>
      </x:c>
      <x:c r="K189" t="str">
        <x:v>2026-08</x:v>
      </x:c>
      <x:c r="L189" t="str"/>
    </x:row>
    <x:row r="190">
      <x:c r="A190" s="6" t="n">
        <x:v>46240</x:v>
      </x:c>
      <x:c r="B190" t="str">
        <x:v>TXN-000222</x:v>
      </x:c>
      <x:c r="C190" t="str">
        <x:v>CAR TIRE REPLACEMENT</x:v>
      </x:c>
      <x:c r="D190" t="str">
        <x:v>Discount Tire</x:v>
      </x:c>
      <x:c r="E190" t="str">
        <x:v>Auto maintenance</x:v>
      </x:c>
      <x:c r="F190" t="str">
        <x:v>Expense</x:v>
      </x:c>
      <x:c r="G190" t="str">
        <x:v>Debit card</x:v>
      </x:c>
      <x:c r="H190" t="str">
        <x:v>No</x:v>
      </x:c>
      <x:c r="I190" s="8" t="n">
        <x:v>-325.9</x:v>
      </x:c>
      <x:c r="J190" s="8" t="n">
        <x:v>3634.42</x:v>
      </x:c>
      <x:c r="K190" t="str">
        <x:v>2026-08</x:v>
      </x:c>
      <x:c r="L190" t="str"/>
    </x:row>
    <x:row r="191">
      <x:c r="A191" s="6" t="n">
        <x:v>46241</x:v>
      </x:c>
      <x:c r="B191" t="str">
        <x:v>TXN-000185</x:v>
      </x:c>
      <x:c r="C191" t="str">
        <x:v>ALLSTATE AUTO INSURANCE</x:v>
      </x:c>
      <x:c r="D191" t="str">
        <x:v>Allstate</x:v>
      </x:c>
      <x:c r="E191" t="str">
        <x:v>Insurance</x:v>
      </x:c>
      <x:c r="F191" t="str">
        <x:v>Expense</x:v>
      </x:c>
      <x:c r="G191" t="str">
        <x:v>ACH</x:v>
      </x:c>
      <x:c r="H191" t="str">
        <x:v>Yes</x:v>
      </x:c>
      <x:c r="I191" s="8" t="n">
        <x:v>-142.6</x:v>
      </x:c>
      <x:c r="J191" s="8" t="n">
        <x:v>3491.82</x:v>
      </x:c>
      <x:c r="K191" t="str">
        <x:v>2026-08</x:v>
      </x:c>
      <x:c r="L191" t="str"/>
    </x:row>
    <x:row r="192">
      <x:c r="A192" s="6" t="n">
        <x:v>46241</x:v>
      </x:c>
      <x:c r="B192" t="str">
        <x:v>TXN-000217</x:v>
      </x:c>
      <x:c r="C192" t="str">
        <x:v>ONLINE PURCHASE AMAZON MARKETPLACE</x:v>
      </x:c>
      <x:c r="D192" t="str">
        <x:v>Amazon Marketplace</x:v>
      </x:c>
      <x:c r="E192" t="str">
        <x:v>Shopping</x:v>
      </x:c>
      <x:c r="F192" t="str">
        <x:v>Expense</x:v>
      </x:c>
      <x:c r="G192" t="str">
        <x:v>Card on file</x:v>
      </x:c>
      <x:c r="H192" t="str">
        <x:v>No</x:v>
      </x:c>
      <x:c r="I192" s="8" t="n">
        <x:v>-78.92</x:v>
      </x:c>
      <x:c r="J192" s="8" t="n">
        <x:v>3412.9</x:v>
      </x:c>
      <x:c r="K192" t="str">
        <x:v>2026-08</x:v>
      </x:c>
      <x:c r="L192" t="str"/>
    </x:row>
    <x:row r="193">
      <x:c r="A193" s="6" t="n">
        <x:v>46242</x:v>
      </x:c>
      <x:c r="B193" t="str">
        <x:v>TXN-000215</x:v>
      </x:c>
      <x:c r="C193" t="str">
        <x:v>PARKING / PUBLIC TRANSIT</x:v>
      </x:c>
      <x:c r="D193" t="str">
        <x:v>Local Transit</x:v>
      </x:c>
      <x:c r="E193" t="str">
        <x:v>Transportation</x:v>
      </x:c>
      <x:c r="F193" t="str">
        <x:v>Expense</x:v>
      </x:c>
      <x:c r="G193" t="str">
        <x:v>Debit card</x:v>
      </x:c>
      <x:c r="H193" t="str">
        <x:v>No</x:v>
      </x:c>
      <x:c r="I193" s="8" t="n">
        <x:v>-9.19</x:v>
      </x:c>
      <x:c r="J193" s="8" t="n">
        <x:v>3403.71</x:v>
      </x:c>
      <x:c r="K193" t="str">
        <x:v>2026-08</x:v>
      </x:c>
      <x:c r="L193" t="str"/>
    </x:row>
    <x:row r="194">
      <x:c r="A194" s="6" t="n">
        <x:v>46243</x:v>
      </x:c>
      <x:c r="B194" t="str">
        <x:v>TXN-000186</x:v>
      </x:c>
      <x:c r="C194" t="str">
        <x:v>CITY WATER SEWER</x:v>
      </x:c>
      <x:c r="D194" t="str">
        <x:v>City Utilities</x:v>
      </x:c>
      <x:c r="E194" t="str">
        <x:v>Utilities</x:v>
      </x:c>
      <x:c r="F194" t="str">
        <x:v>Expense</x:v>
      </x:c>
      <x:c r="G194" t="str">
        <x:v>ACH</x:v>
      </x:c>
      <x:c r="H194" t="str">
        <x:v>Yes</x:v>
      </x:c>
      <x:c r="I194" s="8" t="n">
        <x:v>-50.33</x:v>
      </x:c>
      <x:c r="J194" s="8" t="n">
        <x:v>3353.38</x:v>
      </x:c>
      <x:c r="K194" t="str">
        <x:v>2026-08</x:v>
      </x:c>
      <x:c r="L194" t="str"/>
    </x:row>
    <x:row r="195">
      <x:c r="A195" s="6" t="n">
        <x:v>46244</x:v>
      </x:c>
      <x:c r="B195" t="str">
        <x:v>TXN-000187</x:v>
      </x:c>
      <x:c r="C195" t="str">
        <x:v>PLANET FITNESS MEMBERSHIP</x:v>
      </x:c>
      <x:c r="D195" t="str">
        <x:v>Planet Fitness</x:v>
      </x:c>
      <x:c r="E195" t="str">
        <x:v>Fitness</x:v>
      </x:c>
      <x:c r="F195" t="str">
        <x:v>Expense</x:v>
      </x:c>
      <x:c r="G195" t="str">
        <x:v>Card on file</x:v>
      </x:c>
      <x:c r="H195" t="str">
        <x:v>Yes</x:v>
      </x:c>
      <x:c r="I195" s="8" t="n">
        <x:v>-24.99</x:v>
      </x:c>
      <x:c r="J195" s="8" t="n">
        <x:v>3328.39</x:v>
      </x:c>
      <x:c r="K195" t="str">
        <x:v>2026-08</x:v>
      </x:c>
      <x:c r="L195" t="str"/>
    </x:row>
    <x:row r="196">
      <x:c r="A196" s="6" t="n">
        <x:v>46244</x:v>
      </x:c>
      <x:c r="B196" t="str">
        <x:v>TXN-000200</x:v>
      </x:c>
      <x:c r="C196" t="str">
        <x:v>POS PURCHASE ALDI #6804</x:v>
      </x:c>
      <x:c r="D196" t="str">
        <x:v>Aldi</x:v>
      </x:c>
      <x:c r="E196" t="str">
        <x:v>Groceries</x:v>
      </x:c>
      <x:c r="F196" t="str">
        <x:v>Expense</x:v>
      </x:c>
      <x:c r="G196" t="str">
        <x:v>Debit card</x:v>
      </x:c>
      <x:c r="H196" t="str">
        <x:v>No</x:v>
      </x:c>
      <x:c r="I196" s="8" t="n">
        <x:v>-29.51</x:v>
      </x:c>
      <x:c r="J196" s="8" t="n">
        <x:v>3298.88</x:v>
      </x:c>
      <x:c r="K196" t="str">
        <x:v>2026-08</x:v>
      </x:c>
      <x:c r="L196" t="str"/>
    </x:row>
    <x:row r="197">
      <x:c r="A197" s="6" t="n">
        <x:v>46245</x:v>
      </x:c>
      <x:c r="B197" t="str">
        <x:v>TXN-000207</x:v>
      </x:c>
      <x:c r="C197" t="str">
        <x:v>PAY AT PUMP SUNOCO</x:v>
      </x:c>
      <x:c r="D197" t="str">
        <x:v>Sunoco</x:v>
      </x:c>
      <x:c r="E197" t="str">
        <x:v>Gas &amp; fuel</x:v>
      </x:c>
      <x:c r="F197" t="str">
        <x:v>Expense</x:v>
      </x:c>
      <x:c r="G197" t="str">
        <x:v>Debit card</x:v>
      </x:c>
      <x:c r="H197" t="str">
        <x:v>No</x:v>
      </x:c>
      <x:c r="I197" s="8" t="n">
        <x:v>-38.25</x:v>
      </x:c>
      <x:c r="J197" s="8" t="n">
        <x:v>3260.63</x:v>
      </x:c>
      <x:c r="K197" t="str">
        <x:v>2026-08</x:v>
      </x:c>
      <x:c r="L197" t="str"/>
    </x:row>
    <x:row r="198">
      <x:c r="A198" s="6" t="n">
        <x:v>46246</x:v>
      </x:c>
      <x:c r="B198" t="str">
        <x:v>TXN-000188</x:v>
      </x:c>
      <x:c r="C198" t="str">
        <x:v>NETFLIX STANDARD</x:v>
      </x:c>
      <x:c r="D198" t="str">
        <x:v>Netflix</x:v>
      </x:c>
      <x:c r="E198" t="str">
        <x:v>Subscriptions</x:v>
      </x:c>
      <x:c r="F198" t="str">
        <x:v>Expense</x:v>
      </x:c>
      <x:c r="G198" t="str">
        <x:v>Card on file</x:v>
      </x:c>
      <x:c r="H198" t="str">
        <x:v>Yes</x:v>
      </x:c>
      <x:c r="I198" s="8" t="n">
        <x:v>-17.99</x:v>
      </x:c>
      <x:c r="J198" s="8" t="n">
        <x:v>3242.64</x:v>
      </x:c>
      <x:c r="K198" t="str">
        <x:v>2026-08</x:v>
      </x:c>
      <x:c r="L198" t="str"/>
    </x:row>
    <x:row r="199">
      <x:c r="A199" s="6" t="n">
        <x:v>46246</x:v>
      </x:c>
      <x:c r="B199" t="str">
        <x:v>TXN-000211</x:v>
      </x:c>
      <x:c r="C199" t="str">
        <x:v>POS PURCHASE DOMINOS PIZZA</x:v>
      </x:c>
      <x:c r="D199" t="str">
        <x:v>Dominos Pizza</x:v>
      </x:c>
      <x:c r="E199" t="str">
        <x:v>Dining out</x:v>
      </x:c>
      <x:c r="F199" t="str">
        <x:v>Expense</x:v>
      </x:c>
      <x:c r="G199" t="str">
        <x:v>Debit card</x:v>
      </x:c>
      <x:c r="H199" t="str">
        <x:v>No</x:v>
      </x:c>
      <x:c r="I199" s="8" t="n">
        <x:v>-28.22</x:v>
      </x:c>
      <x:c r="J199" s="8" t="n">
        <x:v>3214.42</x:v>
      </x:c>
      <x:c r="K199" t="str">
        <x:v>2026-08</x:v>
      </x:c>
      <x:c r="L199" t="str"/>
    </x:row>
    <x:row r="200">
      <x:c r="A200" s="6" t="n">
        <x:v>46247</x:v>
      </x:c>
      <x:c r="B200" t="str">
        <x:v>TXN-000219</x:v>
      </x:c>
      <x:c r="C200" t="str">
        <x:v>CARD PURCHASE LIVE MUSIC VENUE</x:v>
      </x:c>
      <x:c r="D200" t="str">
        <x:v>Live Music Venue</x:v>
      </x:c>
      <x:c r="E200" t="str">
        <x:v>Entertainment</x:v>
      </x:c>
      <x:c r="F200" t="str">
        <x:v>Expense</x:v>
      </x:c>
      <x:c r="G200" t="str">
        <x:v>Debit card</x:v>
      </x:c>
      <x:c r="H200" t="str">
        <x:v>No</x:v>
      </x:c>
      <x:c r="I200" s="8" t="n">
        <x:v>-37.88</x:v>
      </x:c>
      <x:c r="J200" s="8" t="n">
        <x:v>3176.54</x:v>
      </x:c>
      <x:c r="K200" t="str">
        <x:v>2026-08</x:v>
      </x:c>
      <x:c r="L200" t="str"/>
    </x:row>
    <x:row r="201">
      <x:c r="A201" s="6" t="n">
        <x:v>46248</x:v>
      </x:c>
      <x:c r="B201" t="str">
        <x:v>TXN-000201</x:v>
      </x:c>
      <x:c r="C201" t="str">
        <x:v>POS PURCHASE TRADER JOE'S #4053</x:v>
      </x:c>
      <x:c r="D201" t="str">
        <x:v>Trader Joe's</x:v>
      </x:c>
      <x:c r="E201" t="str">
        <x:v>Groceries</x:v>
      </x:c>
      <x:c r="F201" t="str">
        <x:v>Expense</x:v>
      </x:c>
      <x:c r="G201" t="str">
        <x:v>Debit card</x:v>
      </x:c>
      <x:c r="H201" t="str">
        <x:v>No</x:v>
      </x:c>
      <x:c r="I201" s="8" t="n">
        <x:v>-29.33</x:v>
      </x:c>
      <x:c r="J201" s="8" t="n">
        <x:v>3147.21</x:v>
      </x:c>
      <x:c r="K201" t="str">
        <x:v>2026-08</x:v>
      </x:c>
      <x:c r="L201" t="str"/>
    </x:row>
    <x:row r="202">
      <x:c r="A202" s="6" t="n">
        <x:v>46249</x:v>
      </x:c>
      <x:c r="B202" t="str">
        <x:v>TXN-000194</x:v>
      </x:c>
      <x:c r="C202" t="str">
        <x:v>PAYROLL DIRECT DEP / BRIGHTWAVE SYSTEMS</x:v>
      </x:c>
      <x:c r="D202" t="str">
        <x:v>BrightWave Systems</x:v>
      </x:c>
      <x:c r="E202" t="str">
        <x:v>Paycheck</x:v>
      </x:c>
      <x:c r="F202" t="str">
        <x:v>Income</x:v>
      </x:c>
      <x:c r="G202" t="str">
        <x:v>Direct deposit</x:v>
      </x:c>
      <x:c r="H202" t="str">
        <x:v>Yes</x:v>
      </x:c>
      <x:c r="I202" s="8" t="n">
        <x:v>2429.2</x:v>
      </x:c>
      <x:c r="J202" s="8" t="n">
        <x:v>5576.41</x:v>
      </x:c>
      <x:c r="K202" t="str">
        <x:v>2026-08</x:v>
      </x:c>
      <x:c r="L202" t="str">
        <x:v>Net payroll; gross and withholdings in Profile</x:v>
      </x:c>
    </x:row>
    <x:row r="203">
      <x:c r="A203" s="6" t="n">
        <x:v>46249</x:v>
      </x:c>
      <x:c r="B203" t="str">
        <x:v>TXN-000195</x:v>
      </x:c>
      <x:c r="C203" t="str">
        <x:v>ONLINE TRANSFER TO SAVINGS ****7721</x:v>
      </x:c>
      <x:c r="D203" t="str">
        <x:v>Internal savings transfer</x:v>
      </x:c>
      <x:c r="E203" t="str">
        <x:v>Savings transfer</x:v>
      </x:c>
      <x:c r="F203" t="str">
        <x:v>Transfer</x:v>
      </x:c>
      <x:c r="G203" t="str">
        <x:v>Internal transfer</x:v>
      </x:c>
      <x:c r="H203" t="str">
        <x:v>Yes</x:v>
      </x:c>
      <x:c r="I203" s="8" t="n">
        <x:v>-350</x:v>
      </x:c>
      <x:c r="J203" s="8" t="n">
        <x:v>5226.41</x:v>
      </x:c>
      <x:c r="K203" t="str">
        <x:v>2026-08</x:v>
      </x:c>
      <x:c r="L203" t="str"/>
    </x:row>
    <x:row r="204">
      <x:c r="A204" s="6" t="n">
        <x:v>46249</x:v>
      </x:c>
      <x:c r="B204" t="str">
        <x:v>TXN-000223</x:v>
      </x:c>
      <x:c r="C204" t="str">
        <x:v>ATM CASH WITHDRAWAL</x:v>
      </x:c>
      <x:c r="D204" t="str">
        <x:v>ATM</x:v>
      </x:c>
      <x:c r="E204" t="str">
        <x:v>Cash withdrawal</x:v>
      </x:c>
      <x:c r="F204" t="str">
        <x:v>Expense</x:v>
      </x:c>
      <x:c r="G204" t="str">
        <x:v>Debit card</x:v>
      </x:c>
      <x:c r="H204" t="str">
        <x:v>No</x:v>
      </x:c>
      <x:c r="I204" s="8" t="n">
        <x:v>-80</x:v>
      </x:c>
      <x:c r="J204" s="8" t="n">
        <x:v>5146.41</x:v>
      </x:c>
      <x:c r="K204" t="str">
        <x:v>2026-08</x:v>
      </x:c>
      <x:c r="L204" t="str"/>
    </x:row>
    <x:row r="205">
      <x:c r="A205" s="6" t="n">
        <x:v>46250</x:v>
      </x:c>
      <x:c r="B205" t="str">
        <x:v>TXN-000189</x:v>
      </x:c>
      <x:c r="C205" t="str">
        <x:v>TOYOTA FINANCIAL LOAN PAYMENT</x:v>
      </x:c>
      <x:c r="D205" t="str">
        <x:v>Toyota Financial</x:v>
      </x:c>
      <x:c r="E205" t="str">
        <x:v>Auto loan</x:v>
      </x:c>
      <x:c r="F205" t="str">
        <x:v>Expense</x:v>
      </x:c>
      <x:c r="G205" t="str">
        <x:v>ACH</x:v>
      </x:c>
      <x:c r="H205" t="str">
        <x:v>Yes</x:v>
      </x:c>
      <x:c r="I205" s="8" t="n">
        <x:v>-318.75</x:v>
      </x:c>
      <x:c r="J205" s="8" t="n">
        <x:v>4827.66</x:v>
      </x:c>
      <x:c r="K205" t="str">
        <x:v>2026-08</x:v>
      </x:c>
      <x:c r="L205" t="str"/>
    </x:row>
    <x:row r="206">
      <x:c r="A206" s="6" t="n">
        <x:v>46252</x:v>
      </x:c>
      <x:c r="B206" t="str">
        <x:v>TXN-000202</x:v>
      </x:c>
      <x:c r="C206" t="str">
        <x:v>POS PURCHASE GIANT FOOD #2922</x:v>
      </x:c>
      <x:c r="D206" t="str">
        <x:v>Giant Food</x:v>
      </x:c>
      <x:c r="E206" t="str">
        <x:v>Groceries</x:v>
      </x:c>
      <x:c r="F206" t="str">
        <x:v>Expense</x:v>
      </x:c>
      <x:c r="G206" t="str">
        <x:v>Debit card</x:v>
      </x:c>
      <x:c r="H206" t="str">
        <x:v>No</x:v>
      </x:c>
      <x:c r="I206" s="8" t="n">
        <x:v>-40.02</x:v>
      </x:c>
      <x:c r="J206" s="8" t="n">
        <x:v>4787.64</x:v>
      </x:c>
      <x:c r="K206" t="str">
        <x:v>2026-08</x:v>
      </x:c>
      <x:c r="L206" t="str"/>
    </x:row>
    <x:row r="207">
      <x:c r="A207" s="6" t="n">
        <x:v>46252</x:v>
      </x:c>
      <x:c r="B207" t="str">
        <x:v>TXN-000212</x:v>
      </x:c>
      <x:c r="C207" t="str">
        <x:v>POS PURCHASE TACO BELL</x:v>
      </x:c>
      <x:c r="D207" t="str">
        <x:v>Taco Bell</x:v>
      </x:c>
      <x:c r="E207" t="str">
        <x:v>Dining out</x:v>
      </x:c>
      <x:c r="F207" t="str">
        <x:v>Expense</x:v>
      </x:c>
      <x:c r="G207" t="str">
        <x:v>Debit card</x:v>
      </x:c>
      <x:c r="H207" t="str">
        <x:v>No</x:v>
      </x:c>
      <x:c r="I207" s="8" t="n">
        <x:v>-21.39</x:v>
      </x:c>
      <x:c r="J207" s="8" t="n">
        <x:v>4766.25</x:v>
      </x:c>
      <x:c r="K207" t="str">
        <x:v>2026-08</x:v>
      </x:c>
      <x:c r="L207" t="str"/>
    </x:row>
    <x:row r="208">
      <x:c r="A208" s="6" t="n">
        <x:v>46253</x:v>
      </x:c>
      <x:c r="B208" t="str">
        <x:v>TXN-000190</x:v>
      </x:c>
      <x:c r="C208" t="str">
        <x:v>APPLE ICLOUD STORAGE</x:v>
      </x:c>
      <x:c r="D208" t="str">
        <x:v>Apple</x:v>
      </x:c>
      <x:c r="E208" t="str">
        <x:v>Subscriptions</x:v>
      </x:c>
      <x:c r="F208" t="str">
        <x:v>Expense</x:v>
      </x:c>
      <x:c r="G208" t="str">
        <x:v>Card on file</x:v>
      </x:c>
      <x:c r="H208" t="str">
        <x:v>Yes</x:v>
      </x:c>
      <x:c r="I208" s="8" t="n">
        <x:v>-2.99</x:v>
      </x:c>
      <x:c r="J208" s="8" t="n">
        <x:v>4763.26</x:v>
      </x:c>
      <x:c r="K208" t="str">
        <x:v>2026-08</x:v>
      </x:c>
      <x:c r="L208" t="str"/>
    </x:row>
    <x:row r="209">
      <x:c r="A209" s="6" t="n">
        <x:v>46253</x:v>
      </x:c>
      <x:c r="B209" t="str">
        <x:v>TXN-000208</x:v>
      </x:c>
      <x:c r="C209" t="str">
        <x:v>PAY AT PUMP WAWA</x:v>
      </x:c>
      <x:c r="D209" t="str">
        <x:v>Wawa</x:v>
      </x:c>
      <x:c r="E209" t="str">
        <x:v>Gas &amp; fuel</x:v>
      </x:c>
      <x:c r="F209" t="str">
        <x:v>Expense</x:v>
      </x:c>
      <x:c r="G209" t="str">
        <x:v>Debit card</x:v>
      </x:c>
      <x:c r="H209" t="str">
        <x:v>No</x:v>
      </x:c>
      <x:c r="I209" s="8" t="n">
        <x:v>-48.91</x:v>
      </x:c>
      <x:c r="J209" s="8" t="n">
        <x:v>4714.35</x:v>
      </x:c>
      <x:c r="K209" t="str">
        <x:v>2026-08</x:v>
      </x:c>
      <x:c r="L209" t="str"/>
    </x:row>
    <x:row r="210">
      <x:c r="A210" s="6" t="n">
        <x:v>46254</x:v>
      </x:c>
      <x:c r="B210" t="str">
        <x:v>TXN-000191</x:v>
      </x:c>
      <x:c r="C210" t="str">
        <x:v>STATE FARM RENTERS INSURANCE</x:v>
      </x:c>
      <x:c r="D210" t="str">
        <x:v>State Farm</x:v>
      </x:c>
      <x:c r="E210" t="str">
        <x:v>Insurance</x:v>
      </x:c>
      <x:c r="F210" t="str">
        <x:v>Expense</x:v>
      </x:c>
      <x:c r="G210" t="str">
        <x:v>ACH</x:v>
      </x:c>
      <x:c r="H210" t="str">
        <x:v>Yes</x:v>
      </x:c>
      <x:c r="I210" s="8" t="n">
        <x:v>-18.25</x:v>
      </x:c>
      <x:c r="J210" s="8" t="n">
        <x:v>4696.1</x:v>
      </x:c>
      <x:c r="K210" t="str">
        <x:v>2026-08</x:v>
      </x:c>
      <x:c r="L210" t="str"/>
    </x:row>
    <x:row r="211">
      <x:c r="A211" s="6" t="n">
        <x:v>46254</x:v>
      </x:c>
      <x:c r="B211" t="str">
        <x:v>TXN-000221</x:v>
      </x:c>
      <x:c r="C211" t="str">
        <x:v>CVS PHARMACY PURCHASE</x:v>
      </x:c>
      <x:c r="D211" t="str">
        <x:v>CVS</x:v>
      </x:c>
      <x:c r="E211" t="str">
        <x:v>Health &amp; pharmacy</x:v>
      </x:c>
      <x:c r="F211" t="str">
        <x:v>Expense</x:v>
      </x:c>
      <x:c r="G211" t="str">
        <x:v>Debit card</x:v>
      </x:c>
      <x:c r="H211" t="str">
        <x:v>No</x:v>
      </x:c>
      <x:c r="I211" s="8" t="n">
        <x:v>-15.44</x:v>
      </x:c>
      <x:c r="J211" s="8" t="n">
        <x:v>4680.66</x:v>
      </x:c>
      <x:c r="K211" t="str">
        <x:v>2026-08</x:v>
      </x:c>
      <x:c r="L211" t="str"/>
    </x:row>
    <x:row r="212">
      <x:c r="A212" s="6" t="n">
        <x:v>46255</x:v>
      </x:c>
      <x:c r="B212" t="str">
        <x:v>TXN-000192</x:v>
      </x:c>
      <x:c r="C212" t="str">
        <x:v>PAYMENT STUDENT LOAN SERVICER</x:v>
      </x:c>
      <x:c r="D212" t="str">
        <x:v>Federal Student Aid Servicer</x:v>
      </x:c>
      <x:c r="E212" t="str">
        <x:v>Student loans</x:v>
      </x:c>
      <x:c r="F212" t="str">
        <x:v>Expense</x:v>
      </x:c>
      <x:c r="G212" t="str">
        <x:v>ACH</x:v>
      </x:c>
      <x:c r="H212" t="str">
        <x:v>Yes</x:v>
      </x:c>
      <x:c r="I212" s="8" t="n">
        <x:v>-185</x:v>
      </x:c>
      <x:c r="J212" s="8" t="n">
        <x:v>4495.66</x:v>
      </x:c>
      <x:c r="K212" t="str">
        <x:v>2026-08</x:v>
      </x:c>
      <x:c r="L212" t="str"/>
    </x:row>
    <x:row r="213">
      <x:c r="A213" s="6" t="n">
        <x:v>46256</x:v>
      </x:c>
      <x:c r="B213" t="str">
        <x:v>TXN-000203</x:v>
      </x:c>
      <x:c r="C213" t="str">
        <x:v>POS PURCHASE GIANT FOOD #2170</x:v>
      </x:c>
      <x:c r="D213" t="str">
        <x:v>Giant Food</x:v>
      </x:c>
      <x:c r="E213" t="str">
        <x:v>Groceries</x:v>
      </x:c>
      <x:c r="F213" t="str">
        <x:v>Expense</x:v>
      </x:c>
      <x:c r="G213" t="str">
        <x:v>Debit card</x:v>
      </x:c>
      <x:c r="H213" t="str">
        <x:v>No</x:v>
      </x:c>
      <x:c r="I213" s="8" t="n">
        <x:v>-42.86</x:v>
      </x:c>
      <x:c r="J213" s="8" t="n">
        <x:v>4452.8</x:v>
      </x:c>
      <x:c r="K213" t="str">
        <x:v>2026-08</x:v>
      </x:c>
      <x:c r="L213" t="str"/>
    </x:row>
    <x:row r="214">
      <x:c r="A214" s="6" t="n">
        <x:v>46256</x:v>
      </x:c>
      <x:c r="B214" t="str">
        <x:v>TXN-000216</x:v>
      </x:c>
      <x:c r="C214" t="str">
        <x:v>PARKING / PUBLIC TRANSIT</x:v>
      </x:c>
      <x:c r="D214" t="str">
        <x:v>Local Transit</x:v>
      </x:c>
      <x:c r="E214" t="str">
        <x:v>Transportation</x:v>
      </x:c>
      <x:c r="F214" t="str">
        <x:v>Expense</x:v>
      </x:c>
      <x:c r="G214" t="str">
        <x:v>Debit card</x:v>
      </x:c>
      <x:c r="H214" t="str">
        <x:v>No</x:v>
      </x:c>
      <x:c r="I214" s="8" t="n">
        <x:v>-23.53</x:v>
      </x:c>
      <x:c r="J214" s="8" t="n">
        <x:v>4429.27</x:v>
      </x:c>
      <x:c r="K214" t="str">
        <x:v>2026-08</x:v>
      </x:c>
      <x:c r="L214" t="str"/>
    </x:row>
    <x:row r="215">
      <x:c r="A215" s="6" t="n">
        <x:v>46257</x:v>
      </x:c>
      <x:c r="B215" t="str">
        <x:v>TXN-000213</x:v>
      </x:c>
      <x:c r="C215" t="str">
        <x:v>POS PURCHASE LOCAL THAI KITCHEN</x:v>
      </x:c>
      <x:c r="D215" t="str">
        <x:v>Local Thai Kitchen</x:v>
      </x:c>
      <x:c r="E215" t="str">
        <x:v>Dining out</x:v>
      </x:c>
      <x:c r="F215" t="str">
        <x:v>Expense</x:v>
      </x:c>
      <x:c r="G215" t="str">
        <x:v>Debit card</x:v>
      </x:c>
      <x:c r="H215" t="str">
        <x:v>No</x:v>
      </x:c>
      <x:c r="I215" s="8" t="n">
        <x:v>-26.14</x:v>
      </x:c>
      <x:c r="J215" s="8" t="n">
        <x:v>4403.13</x:v>
      </x:c>
      <x:c r="K215" t="str">
        <x:v>2026-08</x:v>
      </x:c>
      <x:c r="L215" t="str"/>
    </x:row>
    <x:row r="216">
      <x:c r="A216" s="6" t="n">
        <x:v>46258</x:v>
      </x:c>
      <x:c r="B216" t="str">
        <x:v>TXN-000218</x:v>
      </x:c>
      <x:c r="C216" t="str">
        <x:v>ONLINE PURCHASE TARGET</x:v>
      </x:c>
      <x:c r="D216" t="str">
        <x:v>Target</x:v>
      </x:c>
      <x:c r="E216" t="str">
        <x:v>Shopping</x:v>
      </x:c>
      <x:c r="F216" t="str">
        <x:v>Expense</x:v>
      </x:c>
      <x:c r="G216" t="str">
        <x:v>Card on file</x:v>
      </x:c>
      <x:c r="H216" t="str">
        <x:v>No</x:v>
      </x:c>
      <x:c r="I216" s="8" t="n">
        <x:v>-38.04</x:v>
      </x:c>
      <x:c r="J216" s="8" t="n">
        <x:v>4365.09</x:v>
      </x:c>
      <x:c r="K216" t="str">
        <x:v>2026-08</x:v>
      </x:c>
      <x:c r="L216" t="str"/>
    </x:row>
    <x:row r="217">
      <x:c r="A217" s="6" t="n">
        <x:v>46259</x:v>
      </x:c>
      <x:c r="B217" t="str">
        <x:v>TXN-000193</x:v>
      </x:c>
      <x:c r="C217" t="str">
        <x:v>AMAZON PRIME MEMBERSHIP</x:v>
      </x:c>
      <x:c r="D217" t="str">
        <x:v>Amazon</x:v>
      </x:c>
      <x:c r="E217" t="str">
        <x:v>Subscriptions</x:v>
      </x:c>
      <x:c r="F217" t="str">
        <x:v>Expense</x:v>
      </x:c>
      <x:c r="G217" t="str">
        <x:v>Card on file</x:v>
      </x:c>
      <x:c r="H217" t="str">
        <x:v>Yes</x:v>
      </x:c>
      <x:c r="I217" s="8" t="n">
        <x:v>-14.99</x:v>
      </x:c>
      <x:c r="J217" s="8" t="n">
        <x:v>4350.1</x:v>
      </x:c>
      <x:c r="K217" t="str">
        <x:v>2026-08</x:v>
      </x:c>
      <x:c r="L217" t="str"/>
    </x:row>
    <x:row r="218">
      <x:c r="A218" s="6" t="n">
        <x:v>46260</x:v>
      </x:c>
      <x:c r="B218" t="str">
        <x:v>TXN-000204</x:v>
      </x:c>
      <x:c r="C218" t="str">
        <x:v>POS PURCHASE GIANT FOOD #9116</x:v>
      </x:c>
      <x:c r="D218" t="str">
        <x:v>Giant Food</x:v>
      </x:c>
      <x:c r="E218" t="str">
        <x:v>Groceries</x:v>
      </x:c>
      <x:c r="F218" t="str">
        <x:v>Expense</x:v>
      </x:c>
      <x:c r="G218" t="str">
        <x:v>Debit card</x:v>
      </x:c>
      <x:c r="H218" t="str">
        <x:v>No</x:v>
      </x:c>
      <x:c r="I218" s="8" t="n">
        <x:v>-43.22</x:v>
      </x:c>
      <x:c r="J218" s="8" t="n">
        <x:v>4306.88</x:v>
      </x:c>
      <x:c r="K218" t="str">
        <x:v>2026-08</x:v>
      </x:c>
      <x:c r="L218" t="str"/>
    </x:row>
    <x:row r="219">
      <x:c r="A219" s="6" t="n">
        <x:v>46261</x:v>
      </x:c>
      <x:c r="B219" t="str">
        <x:v>TXN-000209</x:v>
      </x:c>
      <x:c r="C219" t="str">
        <x:v>PAY AT PUMP SHEETZ</x:v>
      </x:c>
      <x:c r="D219" t="str">
        <x:v>Sheetz</x:v>
      </x:c>
      <x:c r="E219" t="str">
        <x:v>Gas &amp; fuel</x:v>
      </x:c>
      <x:c r="F219" t="str">
        <x:v>Expense</x:v>
      </x:c>
      <x:c r="G219" t="str">
        <x:v>Debit card</x:v>
      </x:c>
      <x:c r="H219" t="str">
        <x:v>No</x:v>
      </x:c>
      <x:c r="I219" s="8" t="n">
        <x:v>-37.71</x:v>
      </x:c>
      <x:c r="J219" s="8" t="n">
        <x:v>4269.17</x:v>
      </x:c>
      <x:c r="K219" t="str">
        <x:v>2026-08</x:v>
      </x:c>
      <x:c r="L219" t="str"/>
    </x:row>
    <x:row r="220">
      <x:c r="A220" s="6" t="n">
        <x:v>46261</x:v>
      </x:c>
      <x:c r="B220" t="str">
        <x:v>TXN-000220</x:v>
      </x:c>
      <x:c r="C220" t="str">
        <x:v>CARD PURCHASE LIVE MUSIC VENUE</x:v>
      </x:c>
      <x:c r="D220" t="str">
        <x:v>Live Music Venue</x:v>
      </x:c>
      <x:c r="E220" t="str">
        <x:v>Entertainment</x:v>
      </x:c>
      <x:c r="F220" t="str">
        <x:v>Expense</x:v>
      </x:c>
      <x:c r="G220" t="str">
        <x:v>Debit card</x:v>
      </x:c>
      <x:c r="H220" t="str">
        <x:v>No</x:v>
      </x:c>
      <x:c r="I220" s="8" t="n">
        <x:v>-52.65</x:v>
      </x:c>
      <x:c r="J220" s="8" t="n">
        <x:v>4216.52</x:v>
      </x:c>
      <x:c r="K220" t="str">
        <x:v>2026-08</x:v>
      </x:c>
      <x:c r="L220" t="str"/>
    </x:row>
    <x:row r="221">
      <x:c r="A221" s="6" t="n">
        <x:v>46262</x:v>
      </x:c>
      <x:c r="B221" t="str">
        <x:v>TXN-000214</x:v>
      </x:c>
      <x:c r="C221" t="str">
        <x:v>POS PURCHASE STARBUCKS</x:v>
      </x:c>
      <x:c r="D221" t="str">
        <x:v>Starbucks</x:v>
      </x:c>
      <x:c r="E221" t="str">
        <x:v>Dining out</x:v>
      </x:c>
      <x:c r="F221" t="str">
        <x:v>Expense</x:v>
      </x:c>
      <x:c r="G221" t="str">
        <x:v>Debit card</x:v>
      </x:c>
      <x:c r="H221" t="str">
        <x:v>No</x:v>
      </x:c>
      <x:c r="I221" s="8" t="n">
        <x:v>-11.27</x:v>
      </x:c>
      <x:c r="J221" s="8" t="n">
        <x:v>4205.25</x:v>
      </x:c>
      <x:c r="K221" t="str">
        <x:v>2026-08</x:v>
      </x:c>
      <x:c r="L221" t="str"/>
    </x:row>
    <x:row r="222">
      <x:c r="A222" s="6" t="n">
        <x:v>46263</x:v>
      </x:c>
      <x:c r="B222" t="str">
        <x:v>TXN-000205</x:v>
      </x:c>
      <x:c r="C222" t="str">
        <x:v>POS PURCHASE WALMART SUPERCENTER #7227</x:v>
      </x:c>
      <x:c r="D222" t="str">
        <x:v>Walmart Supercenter</x:v>
      </x:c>
      <x:c r="E222" t="str">
        <x:v>Groceries</x:v>
      </x:c>
      <x:c r="F222" t="str">
        <x:v>Expense</x:v>
      </x:c>
      <x:c r="G222" t="str">
        <x:v>Debit card</x:v>
      </x:c>
      <x:c r="H222" t="str">
        <x:v>No</x:v>
      </x:c>
      <x:c r="I222" s="8" t="n">
        <x:v>-89.92</x:v>
      </x:c>
      <x:c r="J222" s="8" t="n">
        <x:v>4115.33</x:v>
      </x:c>
      <x:c r="K222" t="str">
        <x:v>2026-08</x:v>
      </x:c>
      <x:c r="L222" t="str"/>
    </x:row>
    <x:row r="223">
      <x:c r="A223" s="6" t="n">
        <x:v>46265</x:v>
      </x:c>
      <x:c r="B223" t="str">
        <x:v>TXN-000196</x:v>
      </x:c>
      <x:c r="C223" t="str">
        <x:v>PAYROLL DIRECT DEP / BRIGHTWAVE SYSTEMS</x:v>
      </x:c>
      <x:c r="D223" t="str">
        <x:v>BrightWave Systems</x:v>
      </x:c>
      <x:c r="E223" t="str">
        <x:v>Paycheck</x:v>
      </x:c>
      <x:c r="F223" t="str">
        <x:v>Income</x:v>
      </x:c>
      <x:c r="G223" t="str">
        <x:v>Direct deposit</x:v>
      </x:c>
      <x:c r="H223" t="str">
        <x:v>Yes</x:v>
      </x:c>
      <x:c r="I223" s="8" t="n">
        <x:v>2467.35</x:v>
      </x:c>
      <x:c r="J223" s="8" t="n">
        <x:v>6582.68</x:v>
      </x:c>
      <x:c r="K223" t="str">
        <x:v>2026-08</x:v>
      </x:c>
      <x:c r="L223" t="str">
        <x:v>Net payroll; gross and withholdings in Profile</x:v>
      </x:c>
    </x:row>
    <x:row r="224">
      <x:c r="A224" s="6" t="n">
        <x:v>46265</x:v>
      </x:c>
      <x:c r="B224" t="str">
        <x:v>TXN-000197</x:v>
      </x:c>
      <x:c r="C224" t="str">
        <x:v>ONLINE TRANSFER TO SAVINGS ****7721</x:v>
      </x:c>
      <x:c r="D224" t="str">
        <x:v>Internal savings transfer</x:v>
      </x:c>
      <x:c r="E224" t="str">
        <x:v>Savings transfer</x:v>
      </x:c>
      <x:c r="F224" t="str">
        <x:v>Transfer</x:v>
      </x:c>
      <x:c r="G224" t="str">
        <x:v>Internal transfer</x:v>
      </x:c>
      <x:c r="H224" t="str">
        <x:v>Yes</x:v>
      </x:c>
      <x:c r="I224" s="8" t="n">
        <x:v>-300</x:v>
      </x:c>
      <x:c r="J224" s="8" t="n">
        <x:v>6282.68</x:v>
      </x:c>
      <x:c r="K224" t="str">
        <x:v>2026-08</x:v>
      </x:c>
      <x:c r="L224" t="str"/>
    </x:row>
    <x:row r="225">
      <x:c r="A225" s="6" t="n">
        <x:v>46266</x:v>
      </x:c>
      <x:c r="B225" t="str">
        <x:v>TXN-000224</x:v>
      </x:c>
      <x:c r="C225" t="str">
        <x:v>RENT PMT GREENWOOD APARTMENTS</x:v>
      </x:c>
      <x:c r="D225" t="str">
        <x:v>Greenwood Apartments</x:v>
      </x:c>
      <x:c r="E225" t="str">
        <x:v>Housing</x:v>
      </x:c>
      <x:c r="F225" t="str">
        <x:v>Expense</x:v>
      </x:c>
      <x:c r="G225" t="str">
        <x:v>ACH</x:v>
      </x:c>
      <x:c r="H225" t="str">
        <x:v>Yes</x:v>
      </x:c>
      <x:c r="I225" s="8" t="n">
        <x:v>-1475</x:v>
      </x:c>
      <x:c r="J225" s="8" t="n">
        <x:v>4807.68</x:v>
      </x:c>
      <x:c r="K225" t="str">
        <x:v>2026-09</x:v>
      </x:c>
      <x:c r="L225" t="str"/>
    </x:row>
    <x:row r="226">
      <x:c r="A226" s="6" t="n">
        <x:v>46267</x:v>
      </x:c>
      <x:c r="B226" t="str">
        <x:v>TXN-000225</x:v>
      </x:c>
      <x:c r="C226" t="str">
        <x:v>PECO ENERGY AUTOPAY</x:v>
      </x:c>
      <x:c r="D226" t="str">
        <x:v>PECO Energy</x:v>
      </x:c>
      <x:c r="E226" t="str">
        <x:v>Utilities</x:v>
      </x:c>
      <x:c r="F226" t="str">
        <x:v>Expense</x:v>
      </x:c>
      <x:c r="G226" t="str">
        <x:v>ACH</x:v>
      </x:c>
      <x:c r="H226" t="str">
        <x:v>Yes</x:v>
      </x:c>
      <x:c r="I226" s="8" t="n">
        <x:v>-96.18</x:v>
      </x:c>
      <x:c r="J226" s="8" t="n">
        <x:v>4711.5</x:v>
      </x:c>
      <x:c r="K226" t="str">
        <x:v>2026-09</x:v>
      </x:c>
      <x:c r="L226" t="str"/>
    </x:row>
    <x:row r="227">
      <x:c r="A227" s="6" t="n">
        <x:v>46267</x:v>
      </x:c>
      <x:c r="B227" t="str">
        <x:v>TXN-000242</x:v>
      </x:c>
      <x:c r="C227" t="str">
        <x:v>POS PURCHASE TARGET #5108</x:v>
      </x:c>
      <x:c r="D227" t="str">
        <x:v>Target</x:v>
      </x:c>
      <x:c r="E227" t="str">
        <x:v>Groceries</x:v>
      </x:c>
      <x:c r="F227" t="str">
        <x:v>Expense</x:v>
      </x:c>
      <x:c r="G227" t="str">
        <x:v>Debit card</x:v>
      </x:c>
      <x:c r="H227" t="str">
        <x:v>No</x:v>
      </x:c>
      <x:c r="I227" s="8" t="n">
        <x:v>-82.11</x:v>
      </x:c>
      <x:c r="J227" s="8" t="n">
        <x:v>4629.39</x:v>
      </x:c>
      <x:c r="K227" t="str">
        <x:v>2026-09</x:v>
      </x:c>
      <x:c r="L227" t="str"/>
    </x:row>
    <x:row r="228">
      <x:c r="A228" s="6" t="n">
        <x:v>46268</x:v>
      </x:c>
      <x:c r="B228" t="str">
        <x:v>TXN-000226</x:v>
      </x:c>
      <x:c r="C228" t="str">
        <x:v>COMCAST INTERNET AUTOPAY</x:v>
      </x:c>
      <x:c r="D228" t="str">
        <x:v>Xfinity</x:v>
      </x:c>
      <x:c r="E228" t="str">
        <x:v>Internet</x:v>
      </x:c>
      <x:c r="F228" t="str">
        <x:v>Expense</x:v>
      </x:c>
      <x:c r="G228" t="str">
        <x:v>ACH</x:v>
      </x:c>
      <x:c r="H228" t="str">
        <x:v>Yes</x:v>
      </x:c>
      <x:c r="I228" s="8" t="n">
        <x:v>-65</x:v>
      </x:c>
      <x:c r="J228" s="8" t="n">
        <x:v>4564.39</x:v>
      </x:c>
      <x:c r="K228" t="str">
        <x:v>2026-09</x:v>
      </x:c>
      <x:c r="L228" t="str"/>
    </x:row>
    <x:row r="229">
      <x:c r="A229" s="6" t="n">
        <x:v>46268</x:v>
      </x:c>
      <x:c r="B229" t="str">
        <x:v>TXN-000250</x:v>
      </x:c>
      <x:c r="C229" t="str">
        <x:v>PAY AT PUMP WAWA</x:v>
      </x:c>
      <x:c r="D229" t="str">
        <x:v>Wawa</x:v>
      </x:c>
      <x:c r="E229" t="str">
        <x:v>Gas &amp; fuel</x:v>
      </x:c>
      <x:c r="F229" t="str">
        <x:v>Expense</x:v>
      </x:c>
      <x:c r="G229" t="str">
        <x:v>Debit card</x:v>
      </x:c>
      <x:c r="H229" t="str">
        <x:v>No</x:v>
      </x:c>
      <x:c r="I229" s="8" t="n">
        <x:v>-53.94</x:v>
      </x:c>
      <x:c r="J229" s="8" t="n">
        <x:v>4510.45</x:v>
      </x:c>
      <x:c r="K229" t="str">
        <x:v>2026-09</x:v>
      </x:c>
      <x:c r="L229" t="str"/>
    </x:row>
    <x:row r="230">
      <x:c r="A230" s="6" t="n">
        <x:v>46269</x:v>
      </x:c>
      <x:c r="B230" t="str">
        <x:v>TXN-000227</x:v>
      </x:c>
      <x:c r="C230" t="str">
        <x:v>SPOTIFY PREMIUM</x:v>
      </x:c>
      <x:c r="D230" t="str">
        <x:v>Spotify</x:v>
      </x:c>
      <x:c r="E230" t="str">
        <x:v>Subscriptions</x:v>
      </x:c>
      <x:c r="F230" t="str">
        <x:v>Expense</x:v>
      </x:c>
      <x:c r="G230" t="str">
        <x:v>Card on file</x:v>
      </x:c>
      <x:c r="H230" t="str">
        <x:v>Yes</x:v>
      </x:c>
      <x:c r="I230" s="8" t="n">
        <x:v>-11.99</x:v>
      </x:c>
      <x:c r="J230" s="8" t="n">
        <x:v>4498.46</x:v>
      </x:c>
      <x:c r="K230" t="str">
        <x:v>2026-09</x:v>
      </x:c>
      <x:c r="L230" t="str"/>
    </x:row>
    <x:row r="231">
      <x:c r="A231" s="6" t="n">
        <x:v>46270</x:v>
      </x:c>
      <x:c r="B231" t="str">
        <x:v>TXN-000228</x:v>
      </x:c>
      <x:c r="C231" t="str">
        <x:v>VERIZON WIRELESS</x:v>
      </x:c>
      <x:c r="D231" t="str">
        <x:v>Verizon</x:v>
      </x:c>
      <x:c r="E231" t="str">
        <x:v>Phone</x:v>
      </x:c>
      <x:c r="F231" t="str">
        <x:v>Expense</x:v>
      </x:c>
      <x:c r="G231" t="str">
        <x:v>ACH</x:v>
      </x:c>
      <x:c r="H231" t="str">
        <x:v>Yes</x:v>
      </x:c>
      <x:c r="I231" s="8" t="n">
        <x:v>-62</x:v>
      </x:c>
      <x:c r="J231" s="8" t="n">
        <x:v>4436.46</x:v>
      </x:c>
      <x:c r="K231" t="str">
        <x:v>2026-09</x:v>
      </x:c>
      <x:c r="L231" t="str"/>
    </x:row>
    <x:row r="232">
      <x:c r="A232" s="6" t="n">
        <x:v>46270</x:v>
      </x:c>
      <x:c r="B232" t="str">
        <x:v>TXN-000254</x:v>
      </x:c>
      <x:c r="C232" t="str">
        <x:v>POS PURCHASE LOCAL THAI KITCHEN</x:v>
      </x:c>
      <x:c r="D232" t="str">
        <x:v>Local Thai Kitchen</x:v>
      </x:c>
      <x:c r="E232" t="str">
        <x:v>Dining out</x:v>
      </x:c>
      <x:c r="F232" t="str">
        <x:v>Expense</x:v>
      </x:c>
      <x:c r="G232" t="str">
        <x:v>Debit card</x:v>
      </x:c>
      <x:c r="H232" t="str">
        <x:v>No</x:v>
      </x:c>
      <x:c r="I232" s="8" t="n">
        <x:v>-10.61</x:v>
      </x:c>
      <x:c r="J232" s="8" t="n">
        <x:v>4425.85</x:v>
      </x:c>
      <x:c r="K232" t="str">
        <x:v>2026-09</x:v>
      </x:c>
      <x:c r="L232" t="str"/>
    </x:row>
    <x:row r="233">
      <x:c r="A233" s="6" t="n">
        <x:v>46271</x:v>
      </x:c>
      <x:c r="B233" t="str">
        <x:v>TXN-000243</x:v>
      </x:c>
      <x:c r="C233" t="str">
        <x:v>POS PURCHASE GIANT FOOD #1740</x:v>
      </x:c>
      <x:c r="D233" t="str">
        <x:v>Giant Food</x:v>
      </x:c>
      <x:c r="E233" t="str">
        <x:v>Groceries</x:v>
      </x:c>
      <x:c r="F233" t="str">
        <x:v>Expense</x:v>
      </x:c>
      <x:c r="G233" t="str">
        <x:v>Debit card</x:v>
      </x:c>
      <x:c r="H233" t="str">
        <x:v>No</x:v>
      </x:c>
      <x:c r="I233" s="8" t="n">
        <x:v>-91.6</x:v>
      </x:c>
      <x:c r="J233" s="8" t="n">
        <x:v>4334.25</x:v>
      </x:c>
      <x:c r="K233" t="str">
        <x:v>2026-09</x:v>
      </x:c>
      <x:c r="L233" t="str"/>
    </x:row>
    <x:row r="234">
      <x:c r="A234" s="6" t="n">
        <x:v>46272</x:v>
      </x:c>
      <x:c r="B234" t="str">
        <x:v>TXN-000229</x:v>
      </x:c>
      <x:c r="C234" t="str">
        <x:v>ALLSTATE AUTO INSURANCE</x:v>
      </x:c>
      <x:c r="D234" t="str">
        <x:v>Allstate</x:v>
      </x:c>
      <x:c r="E234" t="str">
        <x:v>Insurance</x:v>
      </x:c>
      <x:c r="F234" t="str">
        <x:v>Expense</x:v>
      </x:c>
      <x:c r="G234" t="str">
        <x:v>ACH</x:v>
      </x:c>
      <x:c r="H234" t="str">
        <x:v>Yes</x:v>
      </x:c>
      <x:c r="I234" s="8" t="n">
        <x:v>-142.6</x:v>
      </x:c>
      <x:c r="J234" s="8" t="n">
        <x:v>4191.65</x:v>
      </x:c>
      <x:c r="K234" t="str">
        <x:v>2026-09</x:v>
      </x:c>
      <x:c r="L234" t="str"/>
    </x:row>
    <x:row r="235">
      <x:c r="A235" s="6" t="n">
        <x:v>46272</x:v>
      </x:c>
      <x:c r="B235" t="str">
        <x:v>TXN-000261</x:v>
      </x:c>
      <x:c r="C235" t="str">
        <x:v>ONLINE PURCHASE AMAZON MARKETPLACE</x:v>
      </x:c>
      <x:c r="D235" t="str">
        <x:v>Amazon Marketplace</x:v>
      </x:c>
      <x:c r="E235" t="str">
        <x:v>Shopping</x:v>
      </x:c>
      <x:c r="F235" t="str">
        <x:v>Expense</x:v>
      </x:c>
      <x:c r="G235" t="str">
        <x:v>Card on file</x:v>
      </x:c>
      <x:c r="H235" t="str">
        <x:v>No</x:v>
      </x:c>
      <x:c r="I235" s="8" t="n">
        <x:v>-59.62</x:v>
      </x:c>
      <x:c r="J235" s="8" t="n">
        <x:v>4132.03</x:v>
      </x:c>
      <x:c r="K235" t="str">
        <x:v>2026-09</x:v>
      </x:c>
      <x:c r="L235" t="str"/>
    </x:row>
    <x:row r="236">
      <x:c r="A236" s="6" t="n">
        <x:v>46273</x:v>
      </x:c>
      <x:c r="B236" t="str">
        <x:v>TXN-000259</x:v>
      </x:c>
      <x:c r="C236" t="str">
        <x:v>PARKING / PUBLIC TRANSIT</x:v>
      </x:c>
      <x:c r="D236" t="str">
        <x:v>Local Transit</x:v>
      </x:c>
      <x:c r="E236" t="str">
        <x:v>Transportation</x:v>
      </x:c>
      <x:c r="F236" t="str">
        <x:v>Expense</x:v>
      </x:c>
      <x:c r="G236" t="str">
        <x:v>Debit card</x:v>
      </x:c>
      <x:c r="H236" t="str">
        <x:v>No</x:v>
      </x:c>
      <x:c r="I236" s="8" t="n">
        <x:v>-21.36</x:v>
      </x:c>
      <x:c r="J236" s="8" t="n">
        <x:v>4110.67</x:v>
      </x:c>
      <x:c r="K236" t="str">
        <x:v>2026-09</x:v>
      </x:c>
      <x:c r="L236" t="str"/>
    </x:row>
    <x:row r="237">
      <x:c r="A237" s="6" t="n">
        <x:v>46273</x:v>
      </x:c>
      <x:c r="B237" t="str">
        <x:v>TXN-000266</x:v>
      </x:c>
      <x:c r="C237" t="str">
        <x:v>BIRTHDAY GIFT</x:v>
      </x:c>
      <x:c r="D237" t="str">
        <x:v>Etsy</x:v>
      </x:c>
      <x:c r="E237" t="str">
        <x:v>Gifts</x:v>
      </x:c>
      <x:c r="F237" t="str">
        <x:v>Expense</x:v>
      </x:c>
      <x:c r="G237" t="str">
        <x:v>Debit card</x:v>
      </x:c>
      <x:c r="H237" t="str">
        <x:v>No</x:v>
      </x:c>
      <x:c r="I237" s="8" t="n">
        <x:v>-86.75</x:v>
      </x:c>
      <x:c r="J237" s="8" t="n">
        <x:v>4023.92</x:v>
      </x:c>
      <x:c r="K237" t="str">
        <x:v>2026-09</x:v>
      </x:c>
      <x:c r="L237" t="str"/>
    </x:row>
    <x:row r="238">
      <x:c r="A238" s="6" t="n">
        <x:v>46274</x:v>
      </x:c>
      <x:c r="B238" t="str">
        <x:v>TXN-000230</x:v>
      </x:c>
      <x:c r="C238" t="str">
        <x:v>CITY WATER SEWER</x:v>
      </x:c>
      <x:c r="D238" t="str">
        <x:v>City Utilities</x:v>
      </x:c>
      <x:c r="E238" t="str">
        <x:v>Utilities</x:v>
      </x:c>
      <x:c r="F238" t="str">
        <x:v>Expense</x:v>
      </x:c>
      <x:c r="G238" t="str">
        <x:v>ACH</x:v>
      </x:c>
      <x:c r="H238" t="str">
        <x:v>Yes</x:v>
      </x:c>
      <x:c r="I238" s="8" t="n">
        <x:v>-36.51</x:v>
      </x:c>
      <x:c r="J238" s="8" t="n">
        <x:v>3987.41</x:v>
      </x:c>
      <x:c r="K238" t="str">
        <x:v>2026-09</x:v>
      </x:c>
      <x:c r="L238" t="str"/>
    </x:row>
    <x:row r="239">
      <x:c r="A239" s="6" t="n">
        <x:v>46275</x:v>
      </x:c>
      <x:c r="B239" t="str">
        <x:v>TXN-000231</x:v>
      </x:c>
      <x:c r="C239" t="str">
        <x:v>PLANET FITNESS MEMBERSHIP</x:v>
      </x:c>
      <x:c r="D239" t="str">
        <x:v>Planet Fitness</x:v>
      </x:c>
      <x:c r="E239" t="str">
        <x:v>Fitness</x:v>
      </x:c>
      <x:c r="F239" t="str">
        <x:v>Expense</x:v>
      </x:c>
      <x:c r="G239" t="str">
        <x:v>Card on file</x:v>
      </x:c>
      <x:c r="H239" t="str">
        <x:v>Yes</x:v>
      </x:c>
      <x:c r="I239" s="8" t="n">
        <x:v>-24.99</x:v>
      </x:c>
      <x:c r="J239" s="8" t="n">
        <x:v>3962.42</x:v>
      </x:c>
      <x:c r="K239" t="str">
        <x:v>2026-09</x:v>
      </x:c>
      <x:c r="L239" t="str"/>
    </x:row>
    <x:row r="240">
      <x:c r="A240" s="6" t="n">
        <x:v>46275</x:v>
      </x:c>
      <x:c r="B240" t="str">
        <x:v>TXN-000244</x:v>
      </x:c>
      <x:c r="C240" t="str">
        <x:v>POS PURCHASE ALDI #2155</x:v>
      </x:c>
      <x:c r="D240" t="str">
        <x:v>Aldi</x:v>
      </x:c>
      <x:c r="E240" t="str">
        <x:v>Groceries</x:v>
      </x:c>
      <x:c r="F240" t="str">
        <x:v>Expense</x:v>
      </x:c>
      <x:c r="G240" t="str">
        <x:v>Debit card</x:v>
      </x:c>
      <x:c r="H240" t="str">
        <x:v>No</x:v>
      </x:c>
      <x:c r="I240" s="8" t="n">
        <x:v>-81.74</x:v>
      </x:c>
      <x:c r="J240" s="8" t="n">
        <x:v>3880.68</x:v>
      </x:c>
      <x:c r="K240" t="str">
        <x:v>2026-09</x:v>
      </x:c>
      <x:c r="L240" t="str"/>
    </x:row>
    <x:row r="241">
      <x:c r="A241" s="6" t="n">
        <x:v>46276</x:v>
      </x:c>
      <x:c r="B241" t="str">
        <x:v>TXN-000251</x:v>
      </x:c>
      <x:c r="C241" t="str">
        <x:v>PAY AT PUMP WAWA</x:v>
      </x:c>
      <x:c r="D241" t="str">
        <x:v>Wawa</x:v>
      </x:c>
      <x:c r="E241" t="str">
        <x:v>Gas &amp; fuel</x:v>
      </x:c>
      <x:c r="F241" t="str">
        <x:v>Expense</x:v>
      </x:c>
      <x:c r="G241" t="str">
        <x:v>Debit card</x:v>
      </x:c>
      <x:c r="H241" t="str">
        <x:v>No</x:v>
      </x:c>
      <x:c r="I241" s="8" t="n">
        <x:v>-32.51</x:v>
      </x:c>
      <x:c r="J241" s="8" t="n">
        <x:v>3848.17</x:v>
      </x:c>
      <x:c r="K241" t="str">
        <x:v>2026-09</x:v>
      </x:c>
      <x:c r="L241" t="str"/>
    </x:row>
    <x:row r="242">
      <x:c r="A242" s="6" t="n">
        <x:v>46277</x:v>
      </x:c>
      <x:c r="B242" t="str">
        <x:v>TXN-000232</x:v>
      </x:c>
      <x:c r="C242" t="str">
        <x:v>NETFLIX STANDARD</x:v>
      </x:c>
      <x:c r="D242" t="str">
        <x:v>Netflix</x:v>
      </x:c>
      <x:c r="E242" t="str">
        <x:v>Subscriptions</x:v>
      </x:c>
      <x:c r="F242" t="str">
        <x:v>Expense</x:v>
      </x:c>
      <x:c r="G242" t="str">
        <x:v>Card on file</x:v>
      </x:c>
      <x:c r="H242" t="str">
        <x:v>Yes</x:v>
      </x:c>
      <x:c r="I242" s="8" t="n">
        <x:v>-17.99</x:v>
      </x:c>
      <x:c r="J242" s="8" t="n">
        <x:v>3830.18</x:v>
      </x:c>
      <x:c r="K242" t="str">
        <x:v>2026-09</x:v>
      </x:c>
      <x:c r="L242" t="str"/>
    </x:row>
    <x:row r="243">
      <x:c r="A243" s="6" t="n">
        <x:v>46277</x:v>
      </x:c>
      <x:c r="B243" t="str">
        <x:v>TXN-000255</x:v>
      </x:c>
      <x:c r="C243" t="str">
        <x:v>POS PURCHASE CAVA</x:v>
      </x:c>
      <x:c r="D243" t="str">
        <x:v>Cava</x:v>
      </x:c>
      <x:c r="E243" t="str">
        <x:v>Dining out</x:v>
      </x:c>
      <x:c r="F243" t="str">
        <x:v>Expense</x:v>
      </x:c>
      <x:c r="G243" t="str">
        <x:v>Debit card</x:v>
      </x:c>
      <x:c r="H243" t="str">
        <x:v>No</x:v>
      </x:c>
      <x:c r="I243" s="8" t="n">
        <x:v>-35.63</x:v>
      </x:c>
      <x:c r="J243" s="8" t="n">
        <x:v>3794.55</x:v>
      </x:c>
      <x:c r="K243" t="str">
        <x:v>2026-09</x:v>
      </x:c>
      <x:c r="L243" t="str"/>
    </x:row>
    <x:row r="244">
      <x:c r="A244" s="6" t="n">
        <x:v>46278</x:v>
      </x:c>
      <x:c r="B244" t="str">
        <x:v>TXN-000263</x:v>
      </x:c>
      <x:c r="C244" t="str">
        <x:v>CARD PURCHASE BOWLING CENTER</x:v>
      </x:c>
      <x:c r="D244" t="str">
        <x:v>Bowling Center</x:v>
      </x:c>
      <x:c r="E244" t="str">
        <x:v>Entertainment</x:v>
      </x:c>
      <x:c r="F244" t="str">
        <x:v>Expense</x:v>
      </x:c>
      <x:c r="G244" t="str">
        <x:v>Debit card</x:v>
      </x:c>
      <x:c r="H244" t="str">
        <x:v>No</x:v>
      </x:c>
      <x:c r="I244" s="8" t="n">
        <x:v>-26.21</x:v>
      </x:c>
      <x:c r="J244" s="8" t="n">
        <x:v>3768.34</x:v>
      </x:c>
      <x:c r="K244" t="str">
        <x:v>2026-09</x:v>
      </x:c>
      <x:c r="L244" t="str"/>
    </x:row>
    <x:row r="245">
      <x:c r="A245" s="6" t="n">
        <x:v>46279</x:v>
      </x:c>
      <x:c r="B245" t="str">
        <x:v>TXN-000245</x:v>
      </x:c>
      <x:c r="C245" t="str">
        <x:v>POS PURCHASE WALMART SUPERCENTER #8306</x:v>
      </x:c>
      <x:c r="D245" t="str">
        <x:v>Walmart Supercenter</x:v>
      </x:c>
      <x:c r="E245" t="str">
        <x:v>Groceries</x:v>
      </x:c>
      <x:c r="F245" t="str">
        <x:v>Expense</x:v>
      </x:c>
      <x:c r="G245" t="str">
        <x:v>Debit card</x:v>
      </x:c>
      <x:c r="H245" t="str">
        <x:v>No</x:v>
      </x:c>
      <x:c r="I245" s="8" t="n">
        <x:v>-56.28</x:v>
      </x:c>
      <x:c r="J245" s="8" t="n">
        <x:v>3712.06</x:v>
      </x:c>
      <x:c r="K245" t="str">
        <x:v>2026-09</x:v>
      </x:c>
      <x:c r="L245" t="str"/>
    </x:row>
    <x:row r="246">
      <x:c r="A246" s="6" t="n">
        <x:v>46280</x:v>
      </x:c>
      <x:c r="B246" t="str">
        <x:v>TXN-000238</x:v>
      </x:c>
      <x:c r="C246" t="str">
        <x:v>PAYROLL DIRECT DEP / BRIGHTWAVE SYSTEMS</x:v>
      </x:c>
      <x:c r="D246" t="str">
        <x:v>BrightWave Systems</x:v>
      </x:c>
      <x:c r="E246" t="str">
        <x:v>Paycheck</x:v>
      </x:c>
      <x:c r="F246" t="str">
        <x:v>Income</x:v>
      </x:c>
      <x:c r="G246" t="str">
        <x:v>Direct deposit</x:v>
      </x:c>
      <x:c r="H246" t="str">
        <x:v>Yes</x:v>
      </x:c>
      <x:c r="I246" s="8" t="n">
        <x:v>2523.82</x:v>
      </x:c>
      <x:c r="J246" s="8" t="n">
        <x:v>6235.88</x:v>
      </x:c>
      <x:c r="K246" t="str">
        <x:v>2026-09</x:v>
      </x:c>
      <x:c r="L246" t="str">
        <x:v>Net payroll; gross and withholdings in Profile</x:v>
      </x:c>
    </x:row>
    <x:row r="247">
      <x:c r="A247" s="6" t="n">
        <x:v>46280</x:v>
      </x:c>
      <x:c r="B247" t="str">
        <x:v>TXN-000239</x:v>
      </x:c>
      <x:c r="C247" t="str">
        <x:v>ONLINE TRANSFER TO SAVINGS ****7721</x:v>
      </x:c>
      <x:c r="D247" t="str">
        <x:v>Internal savings transfer</x:v>
      </x:c>
      <x:c r="E247" t="str">
        <x:v>Savings transfer</x:v>
      </x:c>
      <x:c r="F247" t="str">
        <x:v>Transfer</x:v>
      </x:c>
      <x:c r="G247" t="str">
        <x:v>Internal transfer</x:v>
      </x:c>
      <x:c r="H247" t="str">
        <x:v>Yes</x:v>
      </x:c>
      <x:c r="I247" s="8" t="n">
        <x:v>-350</x:v>
      </x:c>
      <x:c r="J247" s="8" t="n">
        <x:v>5885.88</x:v>
      </x:c>
      <x:c r="K247" t="str">
        <x:v>2026-09</x:v>
      </x:c>
      <x:c r="L247" t="str"/>
    </x:row>
    <x:row r="248">
      <x:c r="A248" s="6" t="n">
        <x:v>46281</x:v>
      </x:c>
      <x:c r="B248" t="str">
        <x:v>TXN-000233</x:v>
      </x:c>
      <x:c r="C248" t="str">
        <x:v>TOYOTA FINANCIAL LOAN PAYMENT</x:v>
      </x:c>
      <x:c r="D248" t="str">
        <x:v>Toyota Financial</x:v>
      </x:c>
      <x:c r="E248" t="str">
        <x:v>Auto loan</x:v>
      </x:c>
      <x:c r="F248" t="str">
        <x:v>Expense</x:v>
      </x:c>
      <x:c r="G248" t="str">
        <x:v>ACH</x:v>
      </x:c>
      <x:c r="H248" t="str">
        <x:v>Yes</x:v>
      </x:c>
      <x:c r="I248" s="8" t="n">
        <x:v>-318.75</x:v>
      </x:c>
      <x:c r="J248" s="8" t="n">
        <x:v>5567.13</x:v>
      </x:c>
      <x:c r="K248" t="str">
        <x:v>2026-09</x:v>
      </x:c>
      <x:c r="L248" t="str"/>
    </x:row>
    <x:row r="249">
      <x:c r="A249" s="6" t="n">
        <x:v>46283</x:v>
      </x:c>
      <x:c r="B249" t="str">
        <x:v>TXN-000246</x:v>
      </x:c>
      <x:c r="C249" t="str">
        <x:v>POS PURCHASE GIANT FOOD #7412</x:v>
      </x:c>
      <x:c r="D249" t="str">
        <x:v>Giant Food</x:v>
      </x:c>
      <x:c r="E249" t="str">
        <x:v>Groceries</x:v>
      </x:c>
      <x:c r="F249" t="str">
        <x:v>Expense</x:v>
      </x:c>
      <x:c r="G249" t="str">
        <x:v>Debit card</x:v>
      </x:c>
      <x:c r="H249" t="str">
        <x:v>No</x:v>
      </x:c>
      <x:c r="I249" s="8" t="n">
        <x:v>-76.86</x:v>
      </x:c>
      <x:c r="J249" s="8" t="n">
        <x:v>5490.27</x:v>
      </x:c>
      <x:c r="K249" t="str">
        <x:v>2026-09</x:v>
      </x:c>
      <x:c r="L249" t="str"/>
    </x:row>
    <x:row r="250">
      <x:c r="A250" s="6" t="n">
        <x:v>46283</x:v>
      </x:c>
      <x:c r="B250" t="str">
        <x:v>TXN-000256</x:v>
      </x:c>
      <x:c r="C250" t="str">
        <x:v>POS PURCHASE CHIPOTLE</x:v>
      </x:c>
      <x:c r="D250" t="str">
        <x:v>Chipotle</x:v>
      </x:c>
      <x:c r="E250" t="str">
        <x:v>Dining out</x:v>
      </x:c>
      <x:c r="F250" t="str">
        <x:v>Expense</x:v>
      </x:c>
      <x:c r="G250" t="str">
        <x:v>Debit card</x:v>
      </x:c>
      <x:c r="H250" t="str">
        <x:v>No</x:v>
      </x:c>
      <x:c r="I250" s="8" t="n">
        <x:v>-14.08</x:v>
      </x:c>
      <x:c r="J250" s="8" t="n">
        <x:v>5476.19</x:v>
      </x:c>
      <x:c r="K250" t="str">
        <x:v>2026-09</x:v>
      </x:c>
      <x:c r="L250" t="str"/>
    </x:row>
    <x:row r="251">
      <x:c r="A251" s="6" t="n">
        <x:v>46283</x:v>
      </x:c>
      <x:c r="B251" t="str">
        <x:v>TXN-000267</x:v>
      </x:c>
      <x:c r="C251" t="str">
        <x:v>PHYSICIAN COPAY</x:v>
      </x:c>
      <x:c r="D251" t="str">
        <x:v>Primary Care Clinic</x:v>
      </x:c>
      <x:c r="E251" t="str">
        <x:v>Medical</x:v>
      </x:c>
      <x:c r="F251" t="str">
        <x:v>Expense</x:v>
      </x:c>
      <x:c r="G251" t="str">
        <x:v>Debit card</x:v>
      </x:c>
      <x:c r="H251" t="str">
        <x:v>No</x:v>
      </x:c>
      <x:c r="I251" s="8" t="n">
        <x:v>-30</x:v>
      </x:c>
      <x:c r="J251" s="8" t="n">
        <x:v>5446.19</x:v>
      </x:c>
      <x:c r="K251" t="str">
        <x:v>2026-09</x:v>
      </x:c>
      <x:c r="L251" t="str"/>
    </x:row>
    <x:row r="252">
      <x:c r="A252" s="6" t="n">
        <x:v>46284</x:v>
      </x:c>
      <x:c r="B252" t="str">
        <x:v>TXN-000234</x:v>
      </x:c>
      <x:c r="C252" t="str">
        <x:v>APPLE ICLOUD STORAGE</x:v>
      </x:c>
      <x:c r="D252" t="str">
        <x:v>Apple</x:v>
      </x:c>
      <x:c r="E252" t="str">
        <x:v>Subscriptions</x:v>
      </x:c>
      <x:c r="F252" t="str">
        <x:v>Expense</x:v>
      </x:c>
      <x:c r="G252" t="str">
        <x:v>Card on file</x:v>
      </x:c>
      <x:c r="H252" t="str">
        <x:v>Yes</x:v>
      </x:c>
      <x:c r="I252" s="8" t="n">
        <x:v>-2.99</x:v>
      </x:c>
      <x:c r="J252" s="8" t="n">
        <x:v>5443.2</x:v>
      </x:c>
      <x:c r="K252" t="str">
        <x:v>2026-09</x:v>
      </x:c>
      <x:c r="L252" t="str"/>
    </x:row>
    <x:row r="253">
      <x:c r="A253" s="6" t="n">
        <x:v>46284</x:v>
      </x:c>
      <x:c r="B253" t="str">
        <x:v>TXN-000252</x:v>
      </x:c>
      <x:c r="C253" t="str">
        <x:v>PAY AT PUMP SUNOCO</x:v>
      </x:c>
      <x:c r="D253" t="str">
        <x:v>Sunoco</x:v>
      </x:c>
      <x:c r="E253" t="str">
        <x:v>Gas &amp; fuel</x:v>
      </x:c>
      <x:c r="F253" t="str">
        <x:v>Expense</x:v>
      </x:c>
      <x:c r="G253" t="str">
        <x:v>Debit card</x:v>
      </x:c>
      <x:c r="H253" t="str">
        <x:v>No</x:v>
      </x:c>
      <x:c r="I253" s="8" t="n">
        <x:v>-40.44</x:v>
      </x:c>
      <x:c r="J253" s="8" t="n">
        <x:v>5402.76</x:v>
      </x:c>
      <x:c r="K253" t="str">
        <x:v>2026-09</x:v>
      </x:c>
      <x:c r="L253" t="str"/>
    </x:row>
    <x:row r="254">
      <x:c r="A254" s="6" t="n">
        <x:v>46285</x:v>
      </x:c>
      <x:c r="B254" t="str">
        <x:v>TXN-000235</x:v>
      </x:c>
      <x:c r="C254" t="str">
        <x:v>STATE FARM RENTERS INSURANCE</x:v>
      </x:c>
      <x:c r="D254" t="str">
        <x:v>State Farm</x:v>
      </x:c>
      <x:c r="E254" t="str">
        <x:v>Insurance</x:v>
      </x:c>
      <x:c r="F254" t="str">
        <x:v>Expense</x:v>
      </x:c>
      <x:c r="G254" t="str">
        <x:v>ACH</x:v>
      </x:c>
      <x:c r="H254" t="str">
        <x:v>Yes</x:v>
      </x:c>
      <x:c r="I254" s="8" t="n">
        <x:v>-18.25</x:v>
      </x:c>
      <x:c r="J254" s="8" t="n">
        <x:v>5384.51</x:v>
      </x:c>
      <x:c r="K254" t="str">
        <x:v>2026-09</x:v>
      </x:c>
      <x:c r="L254" t="str"/>
    </x:row>
    <x:row r="255">
      <x:c r="A255" s="6" t="n">
        <x:v>46285</x:v>
      </x:c>
      <x:c r="B255" t="str">
        <x:v>TXN-000265</x:v>
      </x:c>
      <x:c r="C255" t="str">
        <x:v>CVS PHARMACY PURCHASE</x:v>
      </x:c>
      <x:c r="D255" t="str">
        <x:v>CVS</x:v>
      </x:c>
      <x:c r="E255" t="str">
        <x:v>Health &amp; pharmacy</x:v>
      </x:c>
      <x:c r="F255" t="str">
        <x:v>Expense</x:v>
      </x:c>
      <x:c r="G255" t="str">
        <x:v>Debit card</x:v>
      </x:c>
      <x:c r="H255" t="str">
        <x:v>No</x:v>
      </x:c>
      <x:c r="I255" s="8" t="n">
        <x:v>-23.59</x:v>
      </x:c>
      <x:c r="J255" s="8" t="n">
        <x:v>5360.92</x:v>
      </x:c>
      <x:c r="K255" t="str">
        <x:v>2026-09</x:v>
      </x:c>
      <x:c r="L255" t="str"/>
    </x:row>
    <x:row r="256">
      <x:c r="A256" s="6" t="n">
        <x:v>46286</x:v>
      </x:c>
      <x:c r="B256" t="str">
        <x:v>TXN-000236</x:v>
      </x:c>
      <x:c r="C256" t="str">
        <x:v>PAYMENT STUDENT LOAN SERVICER</x:v>
      </x:c>
      <x:c r="D256" t="str">
        <x:v>Federal Student Aid Servicer</x:v>
      </x:c>
      <x:c r="E256" t="str">
        <x:v>Student loans</x:v>
      </x:c>
      <x:c r="F256" t="str">
        <x:v>Expense</x:v>
      </x:c>
      <x:c r="G256" t="str">
        <x:v>ACH</x:v>
      </x:c>
      <x:c r="H256" t="str">
        <x:v>Yes</x:v>
      </x:c>
      <x:c r="I256" s="8" t="n">
        <x:v>-185</x:v>
      </x:c>
      <x:c r="J256" s="8" t="n">
        <x:v>5175.92</x:v>
      </x:c>
      <x:c r="K256" t="str">
        <x:v>2026-09</x:v>
      </x:c>
      <x:c r="L256" t="str"/>
    </x:row>
    <x:row r="257">
      <x:c r="A257" s="6" t="n">
        <x:v>46287</x:v>
      </x:c>
      <x:c r="B257" t="str">
        <x:v>TXN-000247</x:v>
      </x:c>
      <x:c r="C257" t="str">
        <x:v>POS PURCHASE TRADER JOE'S #6657</x:v>
      </x:c>
      <x:c r="D257" t="str">
        <x:v>Trader Joe's</x:v>
      </x:c>
      <x:c r="E257" t="str">
        <x:v>Groceries</x:v>
      </x:c>
      <x:c r="F257" t="str">
        <x:v>Expense</x:v>
      </x:c>
      <x:c r="G257" t="str">
        <x:v>Debit card</x:v>
      </x:c>
      <x:c r="H257" t="str">
        <x:v>No</x:v>
      </x:c>
      <x:c r="I257" s="8" t="n">
        <x:v>-56.34</x:v>
      </x:c>
      <x:c r="J257" s="8" t="n">
        <x:v>5119.58</x:v>
      </x:c>
      <x:c r="K257" t="str">
        <x:v>2026-09</x:v>
      </x:c>
      <x:c r="L257" t="str"/>
    </x:row>
    <x:row r="258">
      <x:c r="A258" s="6" t="n">
        <x:v>46287</x:v>
      </x:c>
      <x:c r="B258" t="str">
        <x:v>TXN-000260</x:v>
      </x:c>
      <x:c r="C258" t="str">
        <x:v>PARKING / PUBLIC TRANSIT</x:v>
      </x:c>
      <x:c r="D258" t="str">
        <x:v>Local Transit</x:v>
      </x:c>
      <x:c r="E258" t="str">
        <x:v>Transportation</x:v>
      </x:c>
      <x:c r="F258" t="str">
        <x:v>Expense</x:v>
      </x:c>
      <x:c r="G258" t="str">
        <x:v>Debit card</x:v>
      </x:c>
      <x:c r="H258" t="str">
        <x:v>No</x:v>
      </x:c>
      <x:c r="I258" s="8" t="n">
        <x:v>-22.71</x:v>
      </x:c>
      <x:c r="J258" s="8" t="n">
        <x:v>5096.87</x:v>
      </x:c>
      <x:c r="K258" t="str">
        <x:v>2026-09</x:v>
      </x:c>
      <x:c r="L258" t="str"/>
    </x:row>
    <x:row r="259">
      <x:c r="A259" s="6" t="n">
        <x:v>46288</x:v>
      </x:c>
      <x:c r="B259" t="str">
        <x:v>TXN-000257</x:v>
      </x:c>
      <x:c r="C259" t="str">
        <x:v>POS PURCHASE CAVA</x:v>
      </x:c>
      <x:c r="D259" t="str">
        <x:v>Cava</x:v>
      </x:c>
      <x:c r="E259" t="str">
        <x:v>Dining out</x:v>
      </x:c>
      <x:c r="F259" t="str">
        <x:v>Expense</x:v>
      </x:c>
      <x:c r="G259" t="str">
        <x:v>Debit card</x:v>
      </x:c>
      <x:c r="H259" t="str">
        <x:v>No</x:v>
      </x:c>
      <x:c r="I259" s="8" t="n">
        <x:v>-33.72</x:v>
      </x:c>
      <x:c r="J259" s="8" t="n">
        <x:v>5063.15</x:v>
      </x:c>
      <x:c r="K259" t="str">
        <x:v>2026-09</x:v>
      </x:c>
      <x:c r="L259" t="str"/>
    </x:row>
    <x:row r="260">
      <x:c r="A260" s="6" t="n">
        <x:v>46289</x:v>
      </x:c>
      <x:c r="B260" t="str">
        <x:v>TXN-000262</x:v>
      </x:c>
      <x:c r="C260" t="str">
        <x:v>ONLINE PURCHASE TARGET</x:v>
      </x:c>
      <x:c r="D260" t="str">
        <x:v>Target</x:v>
      </x:c>
      <x:c r="E260" t="str">
        <x:v>Shopping</x:v>
      </x:c>
      <x:c r="F260" t="str">
        <x:v>Expense</x:v>
      </x:c>
      <x:c r="G260" t="str">
        <x:v>Card on file</x:v>
      </x:c>
      <x:c r="H260" t="str">
        <x:v>No</x:v>
      </x:c>
      <x:c r="I260" s="8" t="n">
        <x:v>-85.27</x:v>
      </x:c>
      <x:c r="J260" s="8" t="n">
        <x:v>4977.88</x:v>
      </x:c>
      <x:c r="K260" t="str">
        <x:v>2026-09</x:v>
      </x:c>
      <x:c r="L260" t="str"/>
    </x:row>
    <x:row r="261">
      <x:c r="A261" s="6" t="n">
        <x:v>46290</x:v>
      </x:c>
      <x:c r="B261" t="str">
        <x:v>TXN-000237</x:v>
      </x:c>
      <x:c r="C261" t="str">
        <x:v>AMAZON PRIME MEMBERSHIP</x:v>
      </x:c>
      <x:c r="D261" t="str">
        <x:v>Amazon</x:v>
      </x:c>
      <x:c r="E261" t="str">
        <x:v>Subscriptions</x:v>
      </x:c>
      <x:c r="F261" t="str">
        <x:v>Expense</x:v>
      </x:c>
      <x:c r="G261" t="str">
        <x:v>Card on file</x:v>
      </x:c>
      <x:c r="H261" t="str">
        <x:v>Yes</x:v>
      </x:c>
      <x:c r="I261" s="8" t="n">
        <x:v>-14.99</x:v>
      </x:c>
      <x:c r="J261" s="8" t="n">
        <x:v>4962.89</x:v>
      </x:c>
      <x:c r="K261" t="str">
        <x:v>2026-09</x:v>
      </x:c>
      <x:c r="L261" t="str"/>
    </x:row>
    <x:row r="262">
      <x:c r="A262" s="6" t="n">
        <x:v>46291</x:v>
      </x:c>
      <x:c r="B262" t="str">
        <x:v>TXN-000248</x:v>
      </x:c>
      <x:c r="C262" t="str">
        <x:v>POS PURCHASE WALMART SUPERCENTER #4709</x:v>
      </x:c>
      <x:c r="D262" t="str">
        <x:v>Walmart Supercenter</x:v>
      </x:c>
      <x:c r="E262" t="str">
        <x:v>Groceries</x:v>
      </x:c>
      <x:c r="F262" t="str">
        <x:v>Expense</x:v>
      </x:c>
      <x:c r="G262" t="str">
        <x:v>Debit card</x:v>
      </x:c>
      <x:c r="H262" t="str">
        <x:v>No</x:v>
      </x:c>
      <x:c r="I262" s="8" t="n">
        <x:v>-36.05</x:v>
      </x:c>
      <x:c r="J262" s="8" t="n">
        <x:v>4926.84</x:v>
      </x:c>
      <x:c r="K262" t="str">
        <x:v>2026-09</x:v>
      </x:c>
      <x:c r="L262" t="str"/>
    </x:row>
    <x:row r="263">
      <x:c r="A263" s="6" t="n">
        <x:v>46292</x:v>
      </x:c>
      <x:c r="B263" t="str">
        <x:v>TXN-000253</x:v>
      </x:c>
      <x:c r="C263" t="str">
        <x:v>PAY AT PUMP SUNOCO</x:v>
      </x:c>
      <x:c r="D263" t="str">
        <x:v>Sunoco</x:v>
      </x:c>
      <x:c r="E263" t="str">
        <x:v>Gas &amp; fuel</x:v>
      </x:c>
      <x:c r="F263" t="str">
        <x:v>Expense</x:v>
      </x:c>
      <x:c r="G263" t="str">
        <x:v>Debit card</x:v>
      </x:c>
      <x:c r="H263" t="str">
        <x:v>No</x:v>
      </x:c>
      <x:c r="I263" s="8" t="n">
        <x:v>-43.83</x:v>
      </x:c>
      <x:c r="J263" s="8" t="n">
        <x:v>4883.01</x:v>
      </x:c>
      <x:c r="K263" t="str">
        <x:v>2026-09</x:v>
      </x:c>
      <x:c r="L263" t="str"/>
    </x:row>
    <x:row r="264">
      <x:c r="A264" s="6" t="n">
        <x:v>46292</x:v>
      </x:c>
      <x:c r="B264" t="str">
        <x:v>TXN-000264</x:v>
      </x:c>
      <x:c r="C264" t="str">
        <x:v>CARD PURCHASE BOWLING CENTER</x:v>
      </x:c>
      <x:c r="D264" t="str">
        <x:v>Bowling Center</x:v>
      </x:c>
      <x:c r="E264" t="str">
        <x:v>Entertainment</x:v>
      </x:c>
      <x:c r="F264" t="str">
        <x:v>Expense</x:v>
      </x:c>
      <x:c r="G264" t="str">
        <x:v>Debit card</x:v>
      </x:c>
      <x:c r="H264" t="str">
        <x:v>No</x:v>
      </x:c>
      <x:c r="I264" s="8" t="n">
        <x:v>-36.63</x:v>
      </x:c>
      <x:c r="J264" s="8" t="n">
        <x:v>4846.38</x:v>
      </x:c>
      <x:c r="K264" t="str">
        <x:v>2026-09</x:v>
      </x:c>
      <x:c r="L264" t="str"/>
    </x:row>
    <x:row r="265">
      <x:c r="A265" s="6" t="n">
        <x:v>46293</x:v>
      </x:c>
      <x:c r="B265" t="str">
        <x:v>TXN-000258</x:v>
      </x:c>
      <x:c r="C265" t="str">
        <x:v>POS PURCHASE CAVA</x:v>
      </x:c>
      <x:c r="D265" t="str">
        <x:v>Cava</x:v>
      </x:c>
      <x:c r="E265" t="str">
        <x:v>Dining out</x:v>
      </x:c>
      <x:c r="F265" t="str">
        <x:v>Expense</x:v>
      </x:c>
      <x:c r="G265" t="str">
        <x:v>Debit card</x:v>
      </x:c>
      <x:c r="H265" t="str">
        <x:v>No</x:v>
      </x:c>
      <x:c r="I265" s="8" t="n">
        <x:v>-32.26</x:v>
      </x:c>
      <x:c r="J265" s="8" t="n">
        <x:v>4814.12</x:v>
      </x:c>
      <x:c r="K265" t="str">
        <x:v>2026-09</x:v>
      </x:c>
      <x:c r="L265" t="str"/>
    </x:row>
    <x:row r="266">
      <x:c r="A266" s="6" t="n">
        <x:v>46294</x:v>
      </x:c>
      <x:c r="B266" t="str">
        <x:v>TXN-000268</x:v>
      </x:c>
      <x:c r="C266" t="str">
        <x:v>REIMBURSEMENT FROM FRIEND</x:v>
      </x:c>
      <x:c r="D266" t="str">
        <x:v>Zelle</x:v>
      </x:c>
      <x:c r="E266" t="str">
        <x:v>Peer payments</x:v>
      </x:c>
      <x:c r="F266" t="str">
        <x:v>Refund</x:v>
      </x:c>
      <x:c r="G266" t="str">
        <x:v>ACH</x:v>
      </x:c>
      <x:c r="H266" t="str">
        <x:v>No</x:v>
      </x:c>
      <x:c r="I266" s="8" t="n">
        <x:v>45</x:v>
      </x:c>
      <x:c r="J266" s="8" t="n">
        <x:v>4859.12</x:v>
      </x:c>
      <x:c r="K266" t="str">
        <x:v>2026-09</x:v>
      </x:c>
      <x:c r="L266" t="str"/>
    </x:row>
    <x:row r="267">
      <x:c r="A267" s="6" t="n">
        <x:v>46294</x:v>
      </x:c>
      <x:c r="B267" t="str">
        <x:v>TXN-000249</x:v>
      </x:c>
      <x:c r="C267" t="str">
        <x:v>POS PURCHASE GIANT FOOD #3820</x:v>
      </x:c>
      <x:c r="D267" t="str">
        <x:v>Giant Food</x:v>
      </x:c>
      <x:c r="E267" t="str">
        <x:v>Groceries</x:v>
      </x:c>
      <x:c r="F267" t="str">
        <x:v>Expense</x:v>
      </x:c>
      <x:c r="G267" t="str">
        <x:v>Debit card</x:v>
      </x:c>
      <x:c r="H267" t="str">
        <x:v>No</x:v>
      </x:c>
      <x:c r="I267" s="8" t="n">
        <x:v>-64.25</x:v>
      </x:c>
      <x:c r="J267" s="8" t="n">
        <x:v>4794.87</x:v>
      </x:c>
      <x:c r="K267" t="str">
        <x:v>2026-09</x:v>
      </x:c>
      <x:c r="L267" t="str"/>
    </x:row>
    <x:row r="268">
      <x:c r="A268" s="6" t="n">
        <x:v>46295</x:v>
      </x:c>
      <x:c r="B268" t="str">
        <x:v>TXN-000240</x:v>
      </x:c>
      <x:c r="C268" t="str">
        <x:v>PAYROLL DIRECT DEP / BRIGHTWAVE SYSTEMS</x:v>
      </x:c>
      <x:c r="D268" t="str">
        <x:v>BrightWave Systems</x:v>
      </x:c>
      <x:c r="E268" t="str">
        <x:v>Paycheck</x:v>
      </x:c>
      <x:c r="F268" t="str">
        <x:v>Income</x:v>
      </x:c>
      <x:c r="G268" t="str">
        <x:v>Direct deposit</x:v>
      </x:c>
      <x:c r="H268" t="str">
        <x:v>Yes</x:v>
      </x:c>
      <x:c r="I268" s="8" t="n">
        <x:v>2458.23</x:v>
      </x:c>
      <x:c r="J268" s="8" t="n">
        <x:v>7253.1</x:v>
      </x:c>
      <x:c r="K268" t="str">
        <x:v>2026-09</x:v>
      </x:c>
      <x:c r="L268" t="str">
        <x:v>Net payroll; gross and withholdings in Profile</x:v>
      </x:c>
    </x:row>
    <x:row r="269">
      <x:c r="A269" s="6" t="n">
        <x:v>46295</x:v>
      </x:c>
      <x:c r="B269" t="str">
        <x:v>TXN-000241</x:v>
      </x:c>
      <x:c r="C269" t="str">
        <x:v>ONLINE TRANSFER TO SAVINGS ****7721</x:v>
      </x:c>
      <x:c r="D269" t="str">
        <x:v>Internal savings transfer</x:v>
      </x:c>
      <x:c r="E269" t="str">
        <x:v>Savings transfer</x:v>
      </x:c>
      <x:c r="F269" t="str">
        <x:v>Transfer</x:v>
      </x:c>
      <x:c r="G269" t="str">
        <x:v>Internal transfer</x:v>
      </x:c>
      <x:c r="H269" t="str">
        <x:v>Yes</x:v>
      </x:c>
      <x:c r="I269" s="8" t="n">
        <x:v>-300</x:v>
      </x:c>
      <x:c r="J269" s="8" t="n">
        <x:v>6953.1</x:v>
      </x:c>
      <x:c r="K269" t="str">
        <x:v>2026-09</x:v>
      </x:c>
      <x:c r="L269" t="str"/>
    </x:row>
  </x:sheetData>
  <x:pageMargins left="0.7" right="0.7" top="0.75" bottom="0.75" header="0.3" footer="0.3"/>
  <x:tableParts count="1">
    <x:tablePart xmlns:r="http://schemas.openxmlformats.org/officeDocument/2006/relationships" r:id="Rf3b5f28201ae46e0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0" hidden="0" customWidth="1"/>
    <x:col min="4" max="4" width="20" hidden="0" customWidth="1"/>
    <x:col min="5" max="5" width="32" hidden="0" customWidth="1"/>
  </x:cols>
  <x:sheetData>
    <x:row r="1" ht="26" customHeight="1">
      <x:c r="A1" s="3" t="str">
        <x:v>Posted date</x:v>
      </x:c>
      <x:c r="B1" s="3" t="str">
        <x:v>Transaction ID</x:v>
      </x:c>
      <x:c r="C1" s="3" t="str">
        <x:v>Description</x:v>
      </x:c>
      <x:c r="D1" s="3" t="str">
        <x:v>Amount ($)</x:v>
      </x:c>
      <x:c r="E1" s="3" t="str">
        <x:v>Running savings balance ($)</x:v>
      </x:c>
    </x:row>
    <x:row r="2">
      <x:c r="A2" s="6" t="n">
        <x:v>46127</x:v>
      </x:c>
      <x:c r="B2" t="str">
        <x:v>SAV-00001</x:v>
      </x:c>
      <x:c r="C2" t="str">
        <x:v>TRANSFER FROM CHECKING ****1842</x:v>
      </x:c>
      <x:c r="D2" s="8" t="n">
        <x:v>350</x:v>
      </x:c>
      <x:c r="E2" s="8" t="n">
        <x:v>4600</x:v>
      </x:c>
    </x:row>
    <x:row r="3">
      <x:c r="A3" s="6" t="n">
        <x:v>46142</x:v>
      </x:c>
      <x:c r="B3" t="str">
        <x:v>SAV-00002</x:v>
      </x:c>
      <x:c r="C3" t="str">
        <x:v>TRANSFER FROM CHECKING ****1842</x:v>
      </x:c>
      <x:c r="D3" s="8" t="n">
        <x:v>300</x:v>
      </x:c>
      <x:c r="E3" s="8" t="n">
        <x:v>4900</x:v>
      </x:c>
    </x:row>
    <x:row r="4">
      <x:c r="A4" s="6" t="n">
        <x:v>46142</x:v>
      </x:c>
      <x:c r="B4" t="str">
        <x:v>SAV-00003</x:v>
      </x:c>
      <x:c r="C4" t="str">
        <x:v>MONTHLY SAVINGS INTEREST</x:v>
      </x:c>
      <x:c r="D4" s="8" t="n">
        <x:v>11.05</x:v>
      </x:c>
      <x:c r="E4" s="8" t="n">
        <x:v>4911.05</x:v>
      </x:c>
    </x:row>
    <x:row r="5">
      <x:c r="A5" s="6" t="n">
        <x:v>46157</x:v>
      </x:c>
      <x:c r="B5" t="str">
        <x:v>SAV-00004</x:v>
      </x:c>
      <x:c r="C5" t="str">
        <x:v>TRANSFER FROM CHECKING ****1842</x:v>
      </x:c>
      <x:c r="D5" s="8" t="n">
        <x:v>350</x:v>
      </x:c>
      <x:c r="E5" s="8" t="n">
        <x:v>5261.05</x:v>
      </x:c>
    </x:row>
    <x:row r="6">
      <x:c r="A6" s="6" t="n">
        <x:v>46173</x:v>
      </x:c>
      <x:c r="B6" t="str">
        <x:v>SAV-00005</x:v>
      </x:c>
      <x:c r="C6" t="str">
        <x:v>TRANSFER FROM CHECKING ****1842</x:v>
      </x:c>
      <x:c r="D6" s="8" t="n">
        <x:v>300</x:v>
      </x:c>
      <x:c r="E6" s="8" t="n">
        <x:v>5561.05</x:v>
      </x:c>
    </x:row>
    <x:row r="7">
      <x:c r="A7" s="6" t="n">
        <x:v>46173</x:v>
      </x:c>
      <x:c r="B7" t="str">
        <x:v>SAV-00006</x:v>
      </x:c>
      <x:c r="C7" t="str">
        <x:v>MONTHLY SAVINGS INTEREST</x:v>
      </x:c>
      <x:c r="D7" s="8" t="n">
        <x:v>12.74</x:v>
      </x:c>
      <x:c r="E7" s="8" t="n">
        <x:v>5573.79</x:v>
      </x:c>
    </x:row>
    <x:row r="8">
      <x:c r="A8" s="6" t="n">
        <x:v>46188</x:v>
      </x:c>
      <x:c r="B8" t="str">
        <x:v>SAV-00007</x:v>
      </x:c>
      <x:c r="C8" t="str">
        <x:v>TRANSFER FROM CHECKING ****1842</x:v>
      </x:c>
      <x:c r="D8" s="8" t="n">
        <x:v>350</x:v>
      </x:c>
      <x:c r="E8" s="8" t="n">
        <x:v>5923.79</x:v>
      </x:c>
    </x:row>
    <x:row r="9">
      <x:c r="A9" s="6" t="n">
        <x:v>46203</x:v>
      </x:c>
      <x:c r="B9" t="str">
        <x:v>SAV-00008</x:v>
      </x:c>
      <x:c r="C9" t="str">
        <x:v>TRANSFER FROM CHECKING ****1842</x:v>
      </x:c>
      <x:c r="D9" s="8" t="n">
        <x:v>300</x:v>
      </x:c>
      <x:c r="E9" s="8" t="n">
        <x:v>6223.79</x:v>
      </x:c>
    </x:row>
    <x:row r="10">
      <x:c r="A10" s="6" t="n">
        <x:v>46203</x:v>
      </x:c>
      <x:c r="B10" t="str">
        <x:v>SAV-00009</x:v>
      </x:c>
      <x:c r="C10" t="str">
        <x:v>MONTHLY SAVINGS INTEREST</x:v>
      </x:c>
      <x:c r="D10" s="8" t="n">
        <x:v>14.43</x:v>
      </x:c>
      <x:c r="E10" s="8" t="n">
        <x:v>6238.22</x:v>
      </x:c>
    </x:row>
    <x:row r="11">
      <x:c r="A11" s="6" t="n">
        <x:v>46218</x:v>
      </x:c>
      <x:c r="B11" t="str">
        <x:v>SAV-00010</x:v>
      </x:c>
      <x:c r="C11" t="str">
        <x:v>TRANSFER FROM CHECKING ****1842</x:v>
      </x:c>
      <x:c r="D11" s="8" t="n">
        <x:v>350</x:v>
      </x:c>
      <x:c r="E11" s="8" t="n">
        <x:v>6588.22</x:v>
      </x:c>
    </x:row>
    <x:row r="12">
      <x:c r="A12" s="6" t="n">
        <x:v>46234</x:v>
      </x:c>
      <x:c r="B12" t="str">
        <x:v>SAV-00011</x:v>
      </x:c>
      <x:c r="C12" t="str">
        <x:v>TRANSFER FROM CHECKING ****1842</x:v>
      </x:c>
      <x:c r="D12" s="8" t="n">
        <x:v>300</x:v>
      </x:c>
      <x:c r="E12" s="8" t="n">
        <x:v>6888.22</x:v>
      </x:c>
    </x:row>
    <x:row r="13">
      <x:c r="A13" s="6" t="n">
        <x:v>46234</x:v>
      </x:c>
      <x:c r="B13" t="str">
        <x:v>SAV-00012</x:v>
      </x:c>
      <x:c r="C13" t="str">
        <x:v>MONTHLY SAVINGS INTEREST</x:v>
      </x:c>
      <x:c r="D13" s="8" t="n">
        <x:v>16.12</x:v>
      </x:c>
      <x:c r="E13" s="8" t="n">
        <x:v>6904.34</x:v>
      </x:c>
    </x:row>
    <x:row r="14">
      <x:c r="A14" s="6" t="n">
        <x:v>46249</x:v>
      </x:c>
      <x:c r="B14" t="str">
        <x:v>SAV-00013</x:v>
      </x:c>
      <x:c r="C14" t="str">
        <x:v>TRANSFER FROM CHECKING ****1842</x:v>
      </x:c>
      <x:c r="D14" s="8" t="n">
        <x:v>350</x:v>
      </x:c>
      <x:c r="E14" s="8" t="n">
        <x:v>7254.34</x:v>
      </x:c>
    </x:row>
    <x:row r="15">
      <x:c r="A15" s="6" t="n">
        <x:v>46265</x:v>
      </x:c>
      <x:c r="B15" t="str">
        <x:v>SAV-00014</x:v>
      </x:c>
      <x:c r="C15" t="str">
        <x:v>TRANSFER FROM CHECKING ****1842</x:v>
      </x:c>
      <x:c r="D15" s="8" t="n">
        <x:v>300</x:v>
      </x:c>
      <x:c r="E15" s="8" t="n">
        <x:v>7554.34</x:v>
      </x:c>
    </x:row>
    <x:row r="16">
      <x:c r="A16" s="6" t="n">
        <x:v>46265</x:v>
      </x:c>
      <x:c r="B16" t="str">
        <x:v>SAV-00015</x:v>
      </x:c>
      <x:c r="C16" t="str">
        <x:v>MONTHLY SAVINGS INTEREST</x:v>
      </x:c>
      <x:c r="D16" s="8" t="n">
        <x:v>17.81</x:v>
      </x:c>
      <x:c r="E16" s="8" t="n">
        <x:v>7572.15</x:v>
      </x:c>
    </x:row>
    <x:row r="17">
      <x:c r="A17" s="6" t="n">
        <x:v>46280</x:v>
      </x:c>
      <x:c r="B17" t="str">
        <x:v>SAV-00016</x:v>
      </x:c>
      <x:c r="C17" t="str">
        <x:v>TRANSFER FROM CHECKING ****1842</x:v>
      </x:c>
      <x:c r="D17" s="8" t="n">
        <x:v>350</x:v>
      </x:c>
      <x:c r="E17" s="8" t="n">
        <x:v>7922.15</x:v>
      </x:c>
    </x:row>
    <x:row r="18">
      <x:c r="A18" s="6" t="n">
        <x:v>46295</x:v>
      </x:c>
      <x:c r="B18" t="str">
        <x:v>SAV-00017</x:v>
      </x:c>
      <x:c r="C18" t="str">
        <x:v>TRANSFER FROM CHECKING ****1842</x:v>
      </x:c>
      <x:c r="D18" s="8" t="n">
        <x:v>300</x:v>
      </x:c>
      <x:c r="E18" s="8" t="n">
        <x:v>8222.15</x:v>
      </x:c>
    </x:row>
    <x:row r="19">
      <x:c r="A19" s="6" t="n">
        <x:v>46295</x:v>
      </x:c>
      <x:c r="B19" t="str">
        <x:v>SAV-00018</x:v>
      </x:c>
      <x:c r="C19" t="str">
        <x:v>MONTHLY SAVINGS INTEREST</x:v>
      </x:c>
      <x:c r="D19" s="8" t="n">
        <x:v>19.5</x:v>
      </x:c>
      <x:c r="E19" s="8" t="n">
        <x:v>8241.65</x:v>
      </x:c>
    </x:row>
  </x:sheetData>
  <x:pageMargins left="0.7" right="0.7" top="0.75" bottom="0.75" header="0.3" footer="0.3"/>
  <x:tableParts count="1">
    <x:tablePart xmlns:r="http://schemas.openxmlformats.org/officeDocument/2006/relationships" r:id="Rb11e9b1d747c47b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5" hidden="0" customWidth="1"/>
    <x:col min="3" max="3" width="23" hidden="0" customWidth="1"/>
    <x:col min="4" max="4" width="27" hidden="0" customWidth="1"/>
    <x:col min="5" max="5" width="22" hidden="0" customWidth="1"/>
    <x:col min="6" max="6" width="27" hidden="0" customWidth="1"/>
    <x:col min="7" max="7" width="26" hidden="0" customWidth="1"/>
    <x:col min="8" max="8" width="27" hidden="0" customWidth="1"/>
  </x:cols>
  <x:sheetData>
    <x:row r="1" ht="26" customHeight="1">
      <x:c r="A1" s="3" t="str">
        <x:v>Month</x:v>
      </x:c>
      <x:c r="B1" s="3" t="str">
        <x:v>Take-home income ($)</x:v>
      </x:c>
      <x:c r="C1" s="3" t="str">
        <x:v>Spending ($)</x:v>
      </x:c>
      <x:c r="D1" s="3" t="str">
        <x:v>Refunds / credits ($)</x:v>
      </x:c>
      <x:c r="E1" s="3" t="str">
        <x:v>To savings ($)</x:v>
      </x:c>
      <x:c r="F1" s="3" t="str">
        <x:v>Checking cash flow ($)</x:v>
      </x:c>
      <x:c r="G1" s="3" t="str">
        <x:v>Ending checking ($)</x:v>
      </x:c>
      <x:c r="H1" s="3" t="str">
        <x:v>Ending savings ($)</x:v>
      </x:c>
    </x:row>
    <x:row r="2">
      <x:c r="A2" t="str">
        <x:v>2026-04</x:v>
      </x:c>
      <x:c r="B2" s="8" t="n">
        <x:f>SUMIFS('Checking Transactions'!$I$2:$I$269,'Checking Transactions'!$K$2:$K$269,$A2,'Checking Transactions'!$F$2:$F$269,"Income")</x:f>
        <x:v>4971.54</x:v>
      </x:c>
      <x:c r="C2" s="8" t="n">
        <x:f>-SUMIFS('Checking Transactions'!$I$2:$I$269,'Checking Transactions'!$K$2:$K$269,$A2,'Checking Transactions'!$F$2:$F$269,"Expense")</x:f>
        <x:v>3727.5</x:v>
      </x:c>
      <x:c r="D2" s="8" t="n">
        <x:f>SUMIFS('Checking Transactions'!$I$2:$I$269,'Checking Transactions'!$K$2:$K$269,$A2,'Checking Transactions'!$F$2:$F$269,"Refund")</x:f>
        <x:v>0</x:v>
      </x:c>
      <x:c r="E2" s="8" t="n">
        <x:f>-SUMIFS('Checking Transactions'!$I$2:$I$269,'Checking Transactions'!$K$2:$K$269,$A2,'Checking Transactions'!$F$2:$F$269,"Transfer")</x:f>
        <x:v>650</x:v>
      </x:c>
      <x:c r="F2" s="8" t="n">
        <x:f>B2-C2+D2-E2</x:f>
        <x:v>594.04</x:v>
      </x:c>
      <x:c r="G2" s="8" t="n">
        <x:f>LOOKUP(2,1/('Checking Transactions'!$K$2:$K$269=$A2),'Checking Transactions'!$J$2:$J$269)</x:f>
        <x:v>3880.78</x:v>
      </x:c>
      <x:c r="H2" s="8" t="e">
        <x:f>LOOKUP(2,1/(MONTH('Savings Transactions'!$A$2:$A$19)=MONTH(DATEVALUE($A2&amp;"-01"))),'Savings Transactions'!$E$2:$E$19)</x:f>
        <x:v>#N/A</x:v>
      </x:c>
    </x:row>
    <x:row r="3">
      <x:c r="A3" t="str">
        <x:v>2026-05</x:v>
      </x:c>
      <x:c r="B3" s="8" t="n">
        <x:f>SUMIFS('Checking Transactions'!$I$2:$I$269,'Checking Transactions'!$K$2:$K$269,$A3,'Checking Transactions'!$F$2:$F$269,"Income")</x:f>
        <x:v>4993.16</x:v>
      </x:c>
      <x:c r="C3" s="8" t="n">
        <x:f>-SUMIFS('Checking Transactions'!$I$2:$I$269,'Checking Transactions'!$K$2:$K$269,$A3,'Checking Transactions'!$F$2:$F$269,"Expense")</x:f>
        <x:v>3648.679999999999</x:v>
      </x:c>
      <x:c r="D3" s="8" t="n">
        <x:f>SUMIFS('Checking Transactions'!$I$2:$I$269,'Checking Transactions'!$K$2:$K$269,$A3,'Checking Transactions'!$F$2:$F$269,"Refund")</x:f>
        <x:v>0</x:v>
      </x:c>
      <x:c r="E3" s="8" t="n">
        <x:f>-SUMIFS('Checking Transactions'!$I$2:$I$269,'Checking Transactions'!$K$2:$K$269,$A3,'Checking Transactions'!$F$2:$F$269,"Transfer")</x:f>
        <x:v>650</x:v>
      </x:c>
      <x:c r="F3" s="8" t="n">
        <x:f>B3-C3+D3-E3</x:f>
        <x:v>694.4800000000009</x:v>
      </x:c>
      <x:c r="G3" s="8" t="n">
        <x:f>LOOKUP(2,1/('Checking Transactions'!$K$2:$K$269=$A3),'Checking Transactions'!$J$2:$J$269)</x:f>
        <x:v>4575.26</x:v>
      </x:c>
      <x:c r="H3" s="8" t="e">
        <x:f>LOOKUP(2,1/(MONTH('Savings Transactions'!$A$2:$A$19)=MONTH(DATEVALUE($A3&amp;"-01"))),'Savings Transactions'!$E$2:$E$19)</x:f>
        <x:v>#N/A</x:v>
      </x:c>
    </x:row>
    <x:row r="4">
      <x:c r="A4" t="str">
        <x:v>2026-06</x:v>
      </x:c>
      <x:c r="B4" s="8" t="n">
        <x:f>SUMIFS('Checking Transactions'!$I$2:$I$269,'Checking Transactions'!$K$2:$K$269,$A4,'Checking Transactions'!$F$2:$F$269,"Income")</x:f>
        <x:v>4882.700000000001</x:v>
      </x:c>
      <x:c r="C4" s="8" t="n">
        <x:f>-SUMIFS('Checking Transactions'!$I$2:$I$269,'Checking Transactions'!$K$2:$K$269,$A4,'Checking Transactions'!$F$2:$F$269,"Expense")</x:f>
        <x:v>3652.599999999999</x:v>
      </x:c>
      <x:c r="D4" s="8" t="n">
        <x:f>SUMIFS('Checking Transactions'!$I$2:$I$269,'Checking Transactions'!$K$2:$K$269,$A4,'Checking Transactions'!$F$2:$F$269,"Refund")</x:f>
        <x:v>0</x:v>
      </x:c>
      <x:c r="E4" s="8" t="n">
        <x:f>-SUMIFS('Checking Transactions'!$I$2:$I$269,'Checking Transactions'!$K$2:$K$269,$A4,'Checking Transactions'!$F$2:$F$269,"Transfer")</x:f>
        <x:v>650</x:v>
      </x:c>
      <x:c r="F4" s="8" t="n">
        <x:f>B4-C4+D4-E4</x:f>
        <x:v>580.1000000000017</x:v>
      </x:c>
      <x:c r="G4" s="8" t="n">
        <x:f>LOOKUP(2,1/('Checking Transactions'!$K$2:$K$269=$A4),'Checking Transactions'!$J$2:$J$269)</x:f>
        <x:v>5155.36</x:v>
      </x:c>
      <x:c r="H4" s="8" t="e">
        <x:f>LOOKUP(2,1/(MONTH('Savings Transactions'!$A$2:$A$19)=MONTH(DATEVALUE($A4&amp;"-01"))),'Savings Transactions'!$E$2:$E$19)</x:f>
        <x:v>#N/A</x:v>
      </x:c>
    </x:row>
    <x:row r="5">
      <x:c r="A5" t="str">
        <x:v>2026-07</x:v>
      </x:c>
      <x:c r="B5" s="8" t="n">
        <x:f>SUMIFS('Checking Transactions'!$I$2:$I$269,'Checking Transactions'!$K$2:$K$269,$A5,'Checking Transactions'!$F$2:$F$269,"Income")</x:f>
        <x:v>5003.43</x:v>
      </x:c>
      <x:c r="C5" s="8" t="n">
        <x:f>-SUMIFS('Checking Transactions'!$I$2:$I$269,'Checking Transactions'!$K$2:$K$269,$A5,'Checking Transactions'!$F$2:$F$269,"Expense")</x:f>
        <x:v>3662.4199999999983</x:v>
      </x:c>
      <x:c r="D5" s="8" t="n">
        <x:f>SUMIFS('Checking Transactions'!$I$2:$I$269,'Checking Transactions'!$K$2:$K$269,$A5,'Checking Transactions'!$F$2:$F$269,"Refund")</x:f>
        <x:v>22.47</x:v>
      </x:c>
      <x:c r="E5" s="8" t="n">
        <x:f>-SUMIFS('Checking Transactions'!$I$2:$I$269,'Checking Transactions'!$K$2:$K$269,$A5,'Checking Transactions'!$F$2:$F$269,"Transfer")</x:f>
        <x:v>650</x:v>
      </x:c>
      <x:c r="F5" s="8" t="n">
        <x:f>B5-C5+D5-E5</x:f>
        <x:v>713.4800000000021</x:v>
      </x:c>
      <x:c r="G5" s="8" t="n">
        <x:f>LOOKUP(2,1/('Checking Transactions'!$K$2:$K$269=$A5),'Checking Transactions'!$J$2:$J$269)</x:f>
        <x:v>5868.84</x:v>
      </x:c>
      <x:c r="H5" s="8" t="e">
        <x:f>LOOKUP(2,1/(MONTH('Savings Transactions'!$A$2:$A$19)=MONTH(DATEVALUE($A5&amp;"-01"))),'Savings Transactions'!$E$2:$E$19)</x:f>
        <x:v>#N/A</x:v>
      </x:c>
    </x:row>
    <x:row r="6">
      <x:c r="A6" t="str">
        <x:v>2026-08</x:v>
      </x:c>
      <x:c r="B6" s="8" t="n">
        <x:f>SUMIFS('Checking Transactions'!$I$2:$I$269,'Checking Transactions'!$K$2:$K$269,$A6,'Checking Transactions'!$F$2:$F$269,"Income")</x:f>
        <x:v>4896.549999999999</x:v>
      </x:c>
      <x:c r="C6" s="8" t="n">
        <x:f>-SUMIFS('Checking Transactions'!$I$2:$I$269,'Checking Transactions'!$K$2:$K$269,$A6,'Checking Transactions'!$F$2:$F$269,"Expense")</x:f>
        <x:v>3832.709999999999</x:v>
      </x:c>
      <x:c r="D6" s="8" t="n">
        <x:f>SUMIFS('Checking Transactions'!$I$2:$I$269,'Checking Transactions'!$K$2:$K$269,$A6,'Checking Transactions'!$F$2:$F$269,"Refund")</x:f>
        <x:v>0</x:v>
      </x:c>
      <x:c r="E6" s="8" t="n">
        <x:f>-SUMIFS('Checking Transactions'!$I$2:$I$269,'Checking Transactions'!$K$2:$K$269,$A6,'Checking Transactions'!$F$2:$F$269,"Transfer")</x:f>
        <x:v>650</x:v>
      </x:c>
      <x:c r="F6" s="8" t="n">
        <x:f>B6-C6+D6-E6</x:f>
        <x:v>413.84000000000015</x:v>
      </x:c>
      <x:c r="G6" s="8" t="n">
        <x:f>LOOKUP(2,1/('Checking Transactions'!$K$2:$K$269=$A6),'Checking Transactions'!$J$2:$J$269)</x:f>
        <x:v>6282.68</x:v>
      </x:c>
      <x:c r="H6" s="8" t="e">
        <x:f>LOOKUP(2,1/(MONTH('Savings Transactions'!$A$2:$A$19)=MONTH(DATEVALUE($A6&amp;"-01"))),'Savings Transactions'!$E$2:$E$19)</x:f>
        <x:v>#N/A</x:v>
      </x:c>
    </x:row>
    <x:row r="7">
      <x:c r="A7" t="str">
        <x:v>2026-09</x:v>
      </x:c>
      <x:c r="B7" s="8" t="n">
        <x:f>SUMIFS('Checking Transactions'!$I$2:$I$269,'Checking Transactions'!$K$2:$K$269,$A7,'Checking Transactions'!$F$2:$F$269,"Income")</x:f>
        <x:v>4982.05</x:v>
      </x:c>
      <x:c r="C7" s="8" t="n">
        <x:f>-SUMIFS('Checking Transactions'!$I$2:$I$269,'Checking Transactions'!$K$2:$K$269,$A7,'Checking Transactions'!$F$2:$F$269,"Expense")</x:f>
        <x:v>3706.63</x:v>
      </x:c>
      <x:c r="D7" s="8" t="n">
        <x:f>SUMIFS('Checking Transactions'!$I$2:$I$269,'Checking Transactions'!$K$2:$K$269,$A7,'Checking Transactions'!$F$2:$F$269,"Refund")</x:f>
        <x:v>45</x:v>
      </x:c>
      <x:c r="E7" s="8" t="n">
        <x:f>-SUMIFS('Checking Transactions'!$I$2:$I$269,'Checking Transactions'!$K$2:$K$269,$A7,'Checking Transactions'!$F$2:$F$269,"Transfer")</x:f>
        <x:v>650</x:v>
      </x:c>
      <x:c r="F7" s="8" t="n">
        <x:f>B7-C7+D7-E7</x:f>
        <x:v>670.4200000000001</x:v>
      </x:c>
      <x:c r="G7" s="8" t="n">
        <x:f>LOOKUP(2,1/('Checking Transactions'!$K$2:$K$269=$A7),'Checking Transactions'!$J$2:$J$269)</x:f>
        <x:v>6953.1</x:v>
      </x:c>
      <x:c r="H7" s="8" t="e">
        <x:f>LOOKUP(2,1/(MONTH('Savings Transactions'!$A$2:$A$19)=MONTH(DATEVALUE($A7&amp;"-01"))),'Savings Transactions'!$E$2:$E$19)</x:f>
        <x:v>#N/A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22" hidden="0" customWidth="1"/>
    <x:col min="4" max="4" width="26" hidden="0" customWidth="1"/>
    <x:col min="5" max="5" width="20" hidden="0" customWidth="1"/>
    <x:col min="6" max="6" width="18" hidden="0" customWidth="1"/>
    <x:col min="7" max="7" width="17" hidden="0" customWidth="1"/>
  </x:cols>
  <x:sheetData>
    <x:row r="1" ht="26" customHeight="1">
      <x:c r="A1" s="3" t="str">
        <x:v>Bill</x:v>
      </x:c>
      <x:c r="B1" s="3" t="str">
        <x:v>Payee</x:v>
      </x:c>
      <x:c r="C1" s="3" t="str">
        <x:v>Category</x:v>
      </x:c>
      <x:c r="D1" s="3" t="str">
        <x:v>Expected amount ($)</x:v>
      </x:c>
      <x:c r="E1" s="3" t="str">
        <x:v>Day of month</x:v>
      </x:c>
      <x:c r="F1" s="3" t="str">
        <x:v>Frequency</x:v>
      </x:c>
      <x:c r="G1" s="3" t="str">
        <x:v>Priority</x:v>
      </x:c>
    </x:row>
    <x:row r="2">
      <x:c r="A2" t="str">
        <x:v>Rent</x:v>
      </x:c>
      <x:c r="B2" t="str">
        <x:v>Greenwood Apartments</x:v>
      </x:c>
      <x:c r="C2" t="str">
        <x:v>Housing</x:v>
      </x:c>
      <x:c r="D2" s="8" t="n">
        <x:v>1475</x:v>
      </x:c>
      <x:c r="E2" t="n">
        <x:v>1</x:v>
      </x:c>
      <x:c r="F2" t="str">
        <x:v>Monthly</x:v>
      </x:c>
      <x:c r="G2" t="str">
        <x:v>Essential</x:v>
      </x:c>
    </x:row>
    <x:row r="3">
      <x:c r="A3" t="str">
        <x:v>Electricity</x:v>
      </x:c>
      <x:c r="B3" t="str">
        <x:v>PECO Energy</x:v>
      </x:c>
      <x:c r="C3" t="str">
        <x:v>Utilities</x:v>
      </x:c>
      <x:c r="D3" s="8" t="n">
        <x:v>115</x:v>
      </x:c>
      <x:c r="E3" t="n">
        <x:v>2</x:v>
      </x:c>
      <x:c r="F3" t="str">
        <x:v>Monthly</x:v>
      </x:c>
      <x:c r="G3" t="str">
        <x:v>Essential</x:v>
      </x:c>
    </x:row>
    <x:row r="4">
      <x:c r="A4" t="str">
        <x:v>Internet</x:v>
      </x:c>
      <x:c r="B4" t="str">
        <x:v>Xfinity</x:v>
      </x:c>
      <x:c r="C4" t="str">
        <x:v>Internet</x:v>
      </x:c>
      <x:c r="D4" s="8" t="n">
        <x:v>65</x:v>
      </x:c>
      <x:c r="E4" t="n">
        <x:v>3</x:v>
      </x:c>
      <x:c r="F4" t="str">
        <x:v>Monthly</x:v>
      </x:c>
      <x:c r="G4" t="str">
        <x:v>Essential</x:v>
      </x:c>
    </x:row>
    <x:row r="5">
      <x:c r="A5" t="str">
        <x:v>Spotify</x:v>
      </x:c>
      <x:c r="B5" t="str">
        <x:v>Spotify</x:v>
      </x:c>
      <x:c r="C5" t="str">
        <x:v>Subscriptions</x:v>
      </x:c>
      <x:c r="D5" s="8" t="n">
        <x:v>11.99</x:v>
      </x:c>
      <x:c r="E5" t="n">
        <x:v>4</x:v>
      </x:c>
      <x:c r="F5" t="str">
        <x:v>Monthly</x:v>
      </x:c>
      <x:c r="G5" t="str">
        <x:v>Optional</x:v>
      </x:c>
    </x:row>
    <x:row r="6">
      <x:c r="A6" t="str">
        <x:v>Phone</x:v>
      </x:c>
      <x:c r="B6" t="str">
        <x:v>Verizon</x:v>
      </x:c>
      <x:c r="C6" t="str">
        <x:v>Phone</x:v>
      </x:c>
      <x:c r="D6" s="8" t="n">
        <x:v>62</x:v>
      </x:c>
      <x:c r="E6" t="n">
        <x:v>5</x:v>
      </x:c>
      <x:c r="F6" t="str">
        <x:v>Monthly</x:v>
      </x:c>
      <x:c r="G6" t="str">
        <x:v>Essential</x:v>
      </x:c>
    </x:row>
    <x:row r="7">
      <x:c r="A7" t="str">
        <x:v>Auto insurance</x:v>
      </x:c>
      <x:c r="B7" t="str">
        <x:v>Allstate</x:v>
      </x:c>
      <x:c r="C7" t="str">
        <x:v>Insurance</x:v>
      </x:c>
      <x:c r="D7" s="8" t="n">
        <x:v>142.6</x:v>
      </x:c>
      <x:c r="E7" t="n">
        <x:v>7</x:v>
      </x:c>
      <x:c r="F7" t="str">
        <x:v>Monthly</x:v>
      </x:c>
      <x:c r="G7" t="str">
        <x:v>Essential</x:v>
      </x:c>
    </x:row>
    <x:row r="8">
      <x:c r="A8" t="str">
        <x:v>Water &amp; sewer</x:v>
      </x:c>
      <x:c r="B8" t="str">
        <x:v>City Utilities</x:v>
      </x:c>
      <x:c r="C8" t="str">
        <x:v>Utilities</x:v>
      </x:c>
      <x:c r="D8" s="8" t="n">
        <x:v>44</x:v>
      </x:c>
      <x:c r="E8" t="n">
        <x:v>9</x:v>
      </x:c>
      <x:c r="F8" t="str">
        <x:v>Monthly</x:v>
      </x:c>
      <x:c r="G8" t="str">
        <x:v>Essential</x:v>
      </x:c>
    </x:row>
    <x:row r="9">
      <x:c r="A9" t="str">
        <x:v>Gym</x:v>
      </x:c>
      <x:c r="B9" t="str">
        <x:v>Planet Fitness</x:v>
      </x:c>
      <x:c r="C9" t="str">
        <x:v>Fitness</x:v>
      </x:c>
      <x:c r="D9" s="8" t="n">
        <x:v>24.99</x:v>
      </x:c>
      <x:c r="E9" t="n">
        <x:v>10</x:v>
      </x:c>
      <x:c r="F9" t="str">
        <x:v>Monthly</x:v>
      </x:c>
      <x:c r="G9" t="str">
        <x:v>Optional</x:v>
      </x:c>
    </x:row>
    <x:row r="10">
      <x:c r="A10" t="str">
        <x:v>Netflix</x:v>
      </x:c>
      <x:c r="B10" t="str">
        <x:v>Netflix</x:v>
      </x:c>
      <x:c r="C10" t="str">
        <x:v>Subscriptions</x:v>
      </x:c>
      <x:c r="D10" s="8" t="n">
        <x:v>17.99</x:v>
      </x:c>
      <x:c r="E10" t="n">
        <x:v>12</x:v>
      </x:c>
      <x:c r="F10" t="str">
        <x:v>Monthly</x:v>
      </x:c>
      <x:c r="G10" t="str">
        <x:v>Optional</x:v>
      </x:c>
    </x:row>
    <x:row r="11">
      <x:c r="A11" t="str">
        <x:v>Car payment</x:v>
      </x:c>
      <x:c r="B11" t="str">
        <x:v>Toyota Financial</x:v>
      </x:c>
      <x:c r="C11" t="str">
        <x:v>Auto loan</x:v>
      </x:c>
      <x:c r="D11" s="8" t="n">
        <x:v>318.75</x:v>
      </x:c>
      <x:c r="E11" t="n">
        <x:v>16</x:v>
      </x:c>
      <x:c r="F11" t="str">
        <x:v>Monthly</x:v>
      </x:c>
      <x:c r="G11" t="str">
        <x:v>Essential</x:v>
      </x:c>
    </x:row>
    <x:row r="12">
      <x:c r="A12" t="str">
        <x:v>iCloud</x:v>
      </x:c>
      <x:c r="B12" t="str">
        <x:v>Apple</x:v>
      </x:c>
      <x:c r="C12" t="str">
        <x:v>Subscriptions</x:v>
      </x:c>
      <x:c r="D12" s="8" t="n">
        <x:v>2.99</x:v>
      </x:c>
      <x:c r="E12" t="n">
        <x:v>19</x:v>
      </x:c>
      <x:c r="F12" t="str">
        <x:v>Monthly</x:v>
      </x:c>
      <x:c r="G12" t="str">
        <x:v>Optional</x:v>
      </x:c>
    </x:row>
    <x:row r="13">
      <x:c r="A13" t="str">
        <x:v>Renters insurance</x:v>
      </x:c>
      <x:c r="B13" t="str">
        <x:v>State Farm</x:v>
      </x:c>
      <x:c r="C13" t="str">
        <x:v>Insurance</x:v>
      </x:c>
      <x:c r="D13" s="8" t="n">
        <x:v>18.25</x:v>
      </x:c>
      <x:c r="E13" t="n">
        <x:v>20</x:v>
      </x:c>
      <x:c r="F13" t="str">
        <x:v>Monthly</x:v>
      </x:c>
      <x:c r="G13" t="str">
        <x:v>Essential</x:v>
      </x:c>
    </x:row>
    <x:row r="14">
      <x:c r="A14" t="str">
        <x:v>Student loan</x:v>
      </x:c>
      <x:c r="B14" t="str">
        <x:v>Student Loan Servicer</x:v>
      </x:c>
      <x:c r="C14" t="str">
        <x:v>Student loans</x:v>
      </x:c>
      <x:c r="D14" s="8" t="n">
        <x:v>185</x:v>
      </x:c>
      <x:c r="E14" t="n">
        <x:v>21</x:v>
      </x:c>
      <x:c r="F14" t="str">
        <x:v>Monthly</x:v>
      </x:c>
      <x:c r="G14" t="str">
        <x:v>Essential</x:v>
      </x:c>
    </x:row>
    <x:row r="15">
      <x:c r="A15" t="str">
        <x:v>Amazon Prime</x:v>
      </x:c>
      <x:c r="B15" t="str">
        <x:v>Amazon</x:v>
      </x:c>
      <x:c r="C15" t="str">
        <x:v>Subscriptions</x:v>
      </x:c>
      <x:c r="D15" s="8" t="n">
        <x:v>14.99</x:v>
      </x:c>
      <x:c r="E15" t="n">
        <x:v>25</x:v>
      </x:c>
      <x:c r="F15" t="str">
        <x:v>Monthly</x:v>
      </x:c>
      <x:c r="G15" t="str">
        <x:v>Optional</x:v>
      </x:c>
    </x:row>
  </x:sheetData>
  <x:pageMargins left="0.7" right="0.7" top="0.75" bottom="0.75" header="0.3" footer="0.3"/>
  <x:tableParts count="1">
    <x:tablePart xmlns:r="http://schemas.openxmlformats.org/officeDocument/2006/relationships" r:id="R8c598e42dbb84d3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5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</x:cols>
  <x:sheetData>
    <x:row r="1" ht="26" customHeight="1">
      <x:c r="A1" s="3" t="str">
        <x:v>Goal</x:v>
      </x:c>
      <x:c r="B1" s="3" t="str">
        <x:v>Starting saved ($)</x:v>
      </x:c>
      <x:c r="C1" s="3" t="str">
        <x:v>Target ($)</x:v>
      </x:c>
      <x:c r="D1" s="3" t="str">
        <x:v>Deadline</x:v>
      </x:c>
      <x:c r="E1" s="3" t="str">
        <x:v>Allocation / month ($)</x:v>
      </x:c>
      <x:c r="F1" s="3" t="str">
        <x:v>Current funded ($)</x:v>
      </x:c>
    </x:row>
    <x:row r="2">
      <x:c r="A2" t="str">
        <x:v>Emergency fund</x:v>
      </x:c>
      <x:c r="B2" s="8" t="n">
        <x:v>3250</x:v>
      </x:c>
      <x:c r="C2" s="8" t="n">
        <x:v>10000</x:v>
      </x:c>
      <x:c r="D2" s="6" t="n">
        <x:v>46752</x:v>
      </x:c>
      <x:c r="E2" s="8" t="n">
        <x:v>450</x:v>
      </x:c>
      <x:c r="F2" s="8" t="n">
        <x:f>B2+E2*'Profile &amp; Rules'!$B$12</x:f>
        <x:v>5950</x:v>
      </x:c>
    </x:row>
    <x:row r="3">
      <x:c r="A3" t="str">
        <x:v>Travel fund</x:v>
      </x:c>
      <x:c r="B3" s="8" t="n">
        <x:v>600</x:v>
      </x:c>
      <x:c r="C3" s="8" t="n">
        <x:v>2400</x:v>
      </x:c>
      <x:c r="D3" s="6" t="n">
        <x:v>46568</x:v>
      </x:c>
      <x:c r="E3" s="8" t="n">
        <x:v>125</x:v>
      </x:c>
      <x:c r="F3" s="8" t="n">
        <x:f>B3+E3*'Profile &amp; Rules'!$B$12</x:f>
        <x:v>1350</x:v>
      </x:c>
    </x:row>
    <x:row r="4">
      <x:c r="A4" t="str">
        <x:v>Car repairs</x:v>
      </x:c>
      <x:c r="B4" s="8" t="n">
        <x:v>400</x:v>
      </x:c>
      <x:c r="C4" s="8" t="n">
        <x:v>1600</x:v>
      </x:c>
      <x:c r="D4" s="6" t="n">
        <x:v>46507</x:v>
      </x:c>
      <x:c r="E4" s="8" t="n">
        <x:v>75</x:v>
      </x:c>
      <x:c r="F4" s="8" t="n">
        <x:f>B4+E4*'Profile &amp; Rules'!$B$12</x:f>
        <x:v>850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8" hidden="0" customWidth="1"/>
    <x:col min="3" max="3" width="68" hidden="0" customWidth="1"/>
  </x:cols>
  <x:sheetData>
    <x:row r="1" ht="26" customHeight="1">
      <x:c r="A1" s="3" t="str">
        <x:v>Assumption / metadata</x:v>
      </x:c>
      <x:c r="B1" s="3" t="str">
        <x:v>Value</x:v>
      </x:c>
      <x:c r="C1" s="3" t="str">
        <x:v>Definition / use</x:v>
      </x:c>
    </x:row>
    <x:row r="2">
      <x:c r="A2" t="str">
        <x:v>Profile ID</x:v>
      </x:c>
      <x:c r="B2" t="str">
        <x:v>DEMO-001</x:v>
      </x:c>
      <x:c r="C2" t="str">
        <x:v>Entirely synthetic; no real financial information</x:v>
      </x:c>
    </x:row>
    <x:row r="3">
      <x:c r="A3" t="str">
        <x:v>Name</x:v>
      </x:c>
      <x:c r="B3" t="str">
        <x:v>Jordan Morgan</x:v>
      </x:c>
      <x:c r="C3" t="str">
        <x:v>Fictional person, age 28</x:v>
      </x:c>
    </x:row>
    <x:row r="4">
      <x:c r="A4" t="str">
        <x:v>Snapshot date</x:v>
      </x:c>
      <x:c r="B4" s="6" t="n">
        <x:v>46295</x:v>
      </x:c>
      <x:c r="C4" t="str">
        <x:v>Six months of posted activity ending on this date</x:v>
      </x:c>
    </x:row>
    <x:row r="5">
      <x:c r="A5" t="str">
        <x:v>Employer</x:v>
      </x:c>
      <x:c r="B5" t="str">
        <x:v>BrightWave Systems</x:v>
      </x:c>
      <x:c r="C5" t="str">
        <x:v>Fictional employer</x:v>
      </x:c>
    </x:row>
    <x:row r="6">
      <x:c r="A6" t="str">
        <x:v>Annual gross base pay ($)</x:v>
      </x:c>
      <x:c r="B6" t="n">
        <x:v>78000</x:v>
      </x:c>
      <x:c r="C6" t="str">
        <x:v>Illustrative gross salary; net deposits reflect deductions</x:v>
      </x:c>
    </x:row>
    <x:row r="7">
      <x:c r="A7" t="str">
        <x:v>Pay frequency</x:v>
      </x:c>
      <x:c r="B7" s="8" t="str">
        <x:v>Semi-monthly</x:v>
      </x:c>
      <x:c r="C7" t="str">
        <x:v>15th and last calendar day</x:v>
      </x:c>
    </x:row>
    <x:row r="8">
      <x:c r="A8" t="str">
        <x:v>Initial checking ($)</x:v>
      </x:c>
      <x:c r="B8" t="n">
        <x:v>3286.74</x:v>
      </x:c>
      <x:c r="C8" t="str">
        <x:v>Balance before first transaction, April 1</x:v>
      </x:c>
    </x:row>
    <x:row r="9">
      <x:c r="A9" t="str">
        <x:v>Initial savings ($)</x:v>
      </x:c>
      <x:c r="B9" s="8" t="n">
        <x:v>4250</x:v>
      </x:c>
      <x:c r="C9" t="str">
        <x:v>Balance before first transaction, April 1</x:v>
      </x:c>
    </x:row>
    <x:row r="10">
      <x:c r="A10" t="str">
        <x:v>Minimum checking buffer ($)</x:v>
      </x:c>
      <x:c r="B10" s="8" t="n">
        <x:v>500</x:v>
      </x:c>
      <x:c r="C10" t="str">
        <x:v>Do not count as spendable cash</x:v>
      </x:c>
    </x:row>
    <x:row r="11">
      <x:c r="A11" t="str">
        <x:v>Monthly savings goal ($)</x:v>
      </x:c>
      <x:c r="B11" s="8" t="n">
        <x:v>650</x:v>
      </x:c>
      <x:c r="C11" t="str">
        <x:v>Transfer $350 mid-month + $300 month-end</x:v>
      </x:c>
    </x:row>
    <x:row r="12">
      <x:c r="A12" t="str">
        <x:v>Months elapsed</x:v>
      </x:c>
      <x:c r="B12" t="n">
        <x:v>6</x:v>
      </x:c>
      <x:c r="C12" t="str">
        <x:v>Used for savings-goal attribution</x:v>
      </x:c>
    </x:row>
    <x:row r="13">
      <x:c r="A13" t="str">
        <x:v>Forecast horizon days</x:v>
      </x:c>
      <x:c r="B13" t="n">
        <x:v>30</x:v>
      </x:c>
      <x:c r="C13" t="str">
        <x:v>Spending recommendation should include imminent obligations</x:v>
      </x:c>
    </x:row>
    <x:row r="14">
      <x:c r="A14" t="str">
        <x:v>Variable expense reserve ($)</x:v>
      </x:c>
      <x:c r="B14" s="8" t="n">
        <x:v>750</x:v>
      </x:c>
      <x:c r="C14" t="str">
        <x:v>Conservative near-term grocery/gas/misc reserve</x:v>
      </x:c>
    </x:row>
    <x:row r="15">
      <x:c r="A15" t="str">
        <x:v>Account checking masked</x:v>
      </x:c>
      <x:c r="B15" s="8" t="str">
        <x:v>****1842</x:v>
      </x:c>
      <x:c r="C15" t="str">
        <x:v>Fictional bank account identifier</x:v>
      </x:c>
    </x:row>
    <x:row r="16">
      <x:c r="A16" t="str">
        <x:v>Account savings masked</x:v>
      </x:c>
      <x:c r="B16" t="str">
        <x:v>****7721</x:v>
      </x:c>
      <x:c r="C16" t="str">
        <x:v>Fictional savings account identifier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10" hidden="0" customWidth="1"/>
  </x:cols>
  <x:sheetData>
    <x:row r="1" ht="38" customHeight="1">
      <x:c r="A1" s="10" t="str">
        <x:v>SYNTHETIC FINANCIAL DATASET  |  SCHEMA &amp; LOGIC</x:v>
      </x:c>
      <x:c r="B1" s="10" t="str">
        <x:v>SYNTHETIC FINANCIAL DATASET  |  SCHEMA &amp; LOGIC</x:v>
      </x:c>
      <x:c r="C1" s="10" t="str">
        <x:v>SYNTHETIC FINANCIAL DATASET  |  SCHEMA &amp; LOGIC</x:v>
      </x:c>
      <x:c r="D1" s="10" t="str">
        <x:v>SYNTHETIC FINANCIAL DATASET  |  SCHEMA &amp; LOGIC</x:v>
      </x:c>
      <x:c r="E1" s="10" t="str">
        <x:v>SYNTHETIC FINANCIAL DATASET  |  SCHEMA &amp; LOGIC</x:v>
      </x:c>
      <x:c r="F1" s="10" t="str">
        <x:v>SYNTHETIC FINANCIAL DATASET  |  SCHEMA &amp; LOGIC</x:v>
      </x:c>
    </x:row>
    <x:row r="3">
      <x:c r="A3" t="str">
        <x:v>Purpose</x:v>
      </x:c>
      <x:c r="B3" t="str">
        <x:v>Prototype the financial-insights UI and cash-flow forecasting without exposing anyone’s data.</x:v>
      </x:c>
    </x:row>
    <x:row r="4">
      <x:c r="A4" t="str">
        <x:v>Authenticity</x:v>
      </x:c>
      <x:c r="B4" t="str">
        <x:v>Everything is invented. No actual financial institution, customer, or account is represented.</x:v>
      </x:c>
    </x:row>
    <x:row r="5">
      <x:c r="A5" t="str">
        <x:v>Coverage</x:v>
      </x:c>
      <x:c r="B5" t="str">
        <x:v>2026-04-01 to 2026-09-30; 6 complete calendar months; USD.</x:v>
      </x:c>
    </x:row>
    <x:row r="6">
      <x:c r="A6" t="str">
        <x:v>Checking Transactions</x:v>
      </x:c>
      <x:c r="B6" t="str">
        <x:v>One row per posted checking transaction, running balance after each event.</x:v>
      </x:c>
    </x:row>
    <x:row r="7">
      <x:c r="A7" t="str">
        <x:v>Savings Transactions</x:v>
      </x:c>
      <x:c r="B7" t="str">
        <x:v>Matched internal transfers plus monthly interest; savings has its own balance.</x:v>
      </x:c>
    </x:row>
    <x:row r="8">
      <x:c r="A8" t="str">
        <x:v>Monthly Summary</x:v>
      </x:c>
      <x:c r="B8" t="str">
        <x:v>Formula-linked inflows/outflows; transfers excluded from consumption.</x:v>
      </x:c>
    </x:row>
    <x:row r="9">
      <x:c r="A9" t="str">
        <x:v>Recurring Bills</x:v>
      </x:c>
      <x:c r="B9" t="str">
        <x:v>Expected obligations and due dates; variable utilities are estimates.</x:v>
      </x:c>
    </x:row>
    <x:row r="10">
      <x:c r="A10" t="str">
        <x:v>Savings Goals</x:v>
      </x:c>
      <x:c r="B10" t="str">
        <x:v>Three goal buckets; combined starting goal balances equal starting savings account.</x:v>
      </x:c>
    </x:row>
    <x:row r="11">
      <x:c r="A11" t="str">
        <x:v>Transaction sign</x:v>
      </x:c>
      <x:c r="B11" t="str">
        <x:v>Positive = deposit/refund; negative = payment/transfer out.</x:v>
      </x:c>
    </x:row>
    <x:row r="12">
      <x:c r="A12" t="str">
        <x:v>Money classification</x:v>
      </x:c>
      <x:c r="B12" t="str">
        <x:v>Income / Expense / Transfer / Refund prevent double-counting.</x:v>
      </x:c>
    </x:row>
    <x:row r="13">
      <x:c r="A13" t="str">
        <x:v>Spending treatment</x:v>
      </x:c>
      <x:c r="B13" t="str">
        <x:v>Exclude internal transfers from spending; count transfers toward savings.</x:v>
      </x:c>
    </x:row>
    <x:row r="14">
      <x:c r="A14" t="str">
        <x:v>Expense convention</x:v>
      </x:c>
      <x:c r="B14" t="str">
        <x:v>ATM withdrawals counted as spending pending cash reconciliation.</x:v>
      </x:c>
    </x:row>
    <x:row r="15">
      <x:c r="A15" t="str">
        <x:v>Check balance</x:v>
      </x:c>
      <x:c r="B15" t="str">
        <x:v>Opening checking + sum(signed activity) = current checking.</x:v>
      </x:c>
    </x:row>
    <x:row r="16">
      <x:c r="A16" t="str">
        <x:v>Goal balances</x:v>
      </x:c>
      <x:c r="B16" t="str">
        <x:v>Illustrative allocation of monthly savings; interest remains unallocated.</x:v>
      </x:c>
    </x:row>
    <x:row r="17">
      <x:c r="A17" t="str">
        <x:v>Forecast caution</x:v>
      </x:c>
      <x:c r="B17" t="str">
        <x:v>Available spending is NOT just balance minus last-month expenses. Budget across bill timing + reserve + savings goals.</x:v>
      </x:c>
    </x:row>
    <x:row r="18">
      <x:c r="A18" t="str">
        <x:v>Data limitations</x:v>
      </x:c>
      <x:c r="B18" t="str">
        <x:v>No pending holds, credit-card liability, merchant line items/SKUs, taxes by paycheck, or statement PDFs.</x:v>
      </x:c>
    </x:row>
    <x:row r="19">
      <x:c r="A19" t="str">
        <x:v>CSV export</x:v>
      </x:c>
      <x:c r="B19" t="str">
        <x:v>The separate CSV holds checking ledger records suitable for application import.</x:v>
      </x:c>
    </x:row>
  </x:sheetData>
  <x:mergeCells>
    <x:mergeCell ref="A1:F1"/>
  </x:mergeCells>
  <x:pageMargins left="0.7" right="0.7" top="0.75" bottom="0.75" header="0.3" footer="0.3"/>
</x:worksheet>
</file>